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amp; Dev Notes" sheetId="1" state="visible" r:id="rId3"/>
    <sheet name="Specification" sheetId="2" state="visible" r:id="rId4"/>
    <sheet name="Question Bank" sheetId="3" state="visible" r:id="rId5"/>
    <sheet name="Quality Evaluation" sheetId="4" state="visible" r:id="rId6"/>
  </sheets>
  <definedNames>
    <definedName function="false" hidden="true" localSheetId="2" name="_xlnm._FilterDatabase" vbProcedure="false">'Question Bank'!$A$1:$P$176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<sst xmlns="http://schemas.openxmlformats.org/spreadsheetml/2006/main" count="2415" uniqueCount="1258">
  <si>
    <t xml:space="preserve">VEER</t>
  </si>
  <si>
    <t xml:space="preserve">Candidate Technical Assessment — Question Bank (175)</t>
  </si>
  <si>
    <t xml:space="preserve">Towards better. Version 3.0, June 2026. Answer positions randomised. Auto-graded with one expert written question.</t>
  </si>
  <si>
    <t xml:space="preserve">How the assessment works</t>
  </si>
  <si>
    <t xml:space="preserve">The bank holds 175 questions across four formats: single answer, choose three, image based, and expert written.</t>
  </si>
  <si>
    <t xml:space="preserve">It fires automatically after the candidate finishes uploading a CV or resume.</t>
  </si>
  <si>
    <t xml:space="preserve">Each attempt serves 30 auto-graded questions plus one expert written question.</t>
  </si>
  <si>
    <t xml:space="preserve">Developer implementation steps</t>
  </si>
  <si>
    <t xml:space="preserve">1. Import the Question Bank sheet into your database. One row per question. Keep the Correct, Scoring and Rationale columns server side only.</t>
  </si>
  <si>
    <t xml:space="preserve">2. On CV upload, trigger the test. Select 30 auto-graded questions, stratified: 18 AI, 3 ML, 3 Software development, 6 Aptitude, drawn from single, choose three and image rows.</t>
  </si>
  <si>
    <t xml:space="preserve">3. Also select one expert written question at random from the three Section G rows.</t>
  </si>
  <si>
    <t xml:space="preserve">4. Shuffle the option order again at render time and keep a server side map to the correct letters. The bank is pre-randomised, but per-attempt shuffling stops answer sharing.</t>
  </si>
  <si>
    <t xml:space="preserve">5. For choose three, lock the candidate to exactly three selections in the UI.</t>
  </si>
  <si>
    <t xml:space="preserve">6. For image rows, serve the image named in the Image column from your assets folder.</t>
  </si>
  <si>
    <t xml:space="preserve">7. Auto-grade on submit. Apply the scoring rules below. Pass is 24.0 of 30, which is 80 percent.</t>
  </si>
  <si>
    <t xml:space="preserve">8. Send the expert written answer to a human reviewer with the rubric. Record a 1 to 5 score beside the auto result.</t>
  </si>
  <si>
    <t xml:space="preserve">9. Store score, pass flag, expert score, timestamp and the served question ids on the candidate profile.</t>
  </si>
  <si>
    <t xml:space="preserve">Scoring rules</t>
  </si>
  <si>
    <t xml:space="preserve">Single and image questions score 1 if correct, else 0.</t>
  </si>
  <si>
    <t xml:space="preserve">Choose three requires exactly three selections. Score equals correct picks divided by three. No negative marking.</t>
  </si>
  <si>
    <t xml:space="preserve">The auto test is out of 30 points. Pass is 24.0, which is 80 percent.</t>
  </si>
  <si>
    <t xml:space="preserve">The expert written question is scored 1 to 5 by a human against the rubric and does not change the auto pass. A 4 or 5 flags a top tier candidate.</t>
  </si>
  <si>
    <t xml:space="preserve">Anti-cheat and integrity</t>
  </si>
  <si>
    <t xml:space="preserve">Never expose the Correct, Scoring or Rationale columns to the candidate browser.</t>
  </si>
  <si>
    <t xml:space="preserve">Randomise both question selection and option order per attempt.</t>
  </si>
  <si>
    <t xml:space="preserve">Suggested time, 40 minutes for the auto questions and 15 minutes for the written question.</t>
  </si>
  <si>
    <t xml:space="preserve">One attempt, with a 14 day cooldown before any retake.</t>
  </si>
  <si>
    <t xml:space="preserve">Have a second technical reviewer audit the answer key before the gate can fail a real candidate.</t>
  </si>
  <si>
    <t xml:space="preserve">Test specification</t>
  </si>
  <si>
    <t xml:space="preserve">Item</t>
  </si>
  <si>
    <t xml:space="preserve">Value</t>
  </si>
  <si>
    <t xml:space="preserve">Total bank</t>
  </si>
  <si>
    <t xml:space="preserve">175 questions</t>
  </si>
  <si>
    <t xml:space="preserve">Served per candidate</t>
  </si>
  <si>
    <t xml:space="preserve">30 auto-graded plus 1 expert written</t>
  </si>
  <si>
    <t xml:space="preserve">Auto pass mark</t>
  </si>
  <si>
    <t xml:space="preserve">80 percent of 30 points, which is 24.0</t>
  </si>
  <si>
    <t xml:space="preserve">Trigger</t>
  </si>
  <si>
    <t xml:space="preserve">After the candidate uploads a CV or resume</t>
  </si>
  <si>
    <t xml:space="preserve">Weighting</t>
  </si>
  <si>
    <t xml:space="preserve">AI 60, ML 10, Software development 10, Aptitude 20</t>
  </si>
  <si>
    <t xml:space="preserve">Auto split per test</t>
  </si>
  <si>
    <t xml:space="preserve">AI 18, ML 3, Software development 3, Aptitude 6</t>
  </si>
  <si>
    <t xml:space="preserve">Formats</t>
  </si>
  <si>
    <t xml:space="preserve">150 single, 15 choose three, 7 image, 3 expert written</t>
  </si>
  <si>
    <t xml:space="preserve">Answer key</t>
  </si>
  <si>
    <t xml:space="preserve">Correct positions randomised across A, B, C, D</t>
  </si>
  <si>
    <t xml:space="preserve">ID</t>
  </si>
  <si>
    <t xml:space="preserve">Section</t>
  </si>
  <si>
    <t xml:space="preserve">Category</t>
  </si>
  <si>
    <t xml:space="preserve">Type</t>
  </si>
  <si>
    <t xml:space="preserve">Difficulty</t>
  </si>
  <si>
    <t xml:space="preserve">Question</t>
  </si>
  <si>
    <t xml:space="preserve">Option A</t>
  </si>
  <si>
    <t xml:space="preserve">Option B</t>
  </si>
  <si>
    <t xml:space="preserve">Option C</t>
  </si>
  <si>
    <t xml:space="preserve">Option D</t>
  </si>
  <si>
    <t xml:space="preserve">Option E</t>
  </si>
  <si>
    <t xml:space="preserve">Option F</t>
  </si>
  <si>
    <t xml:space="preserve">Correct</t>
  </si>
  <si>
    <t xml:space="preserve">Scoring</t>
  </si>
  <si>
    <t xml:space="preserve">Rationale / Rubric</t>
  </si>
  <si>
    <t xml:space="preserve">Image</t>
  </si>
  <si>
    <t xml:space="preserve">AI001</t>
  </si>
  <si>
    <t xml:space="preserve">A</t>
  </si>
  <si>
    <t xml:space="preserve">AI</t>
  </si>
  <si>
    <t xml:space="preserve">single</t>
  </si>
  <si>
    <t xml:space="preserve">Easy</t>
  </si>
  <si>
    <t xml:space="preserve">In GPT models, GPT stands for</t>
  </si>
  <si>
    <t xml:space="preserve">General Processing Transformer</t>
  </si>
  <si>
    <t xml:space="preserve">Guided Predictive Transformer</t>
  </si>
  <si>
    <t xml:space="preserve">Generalized Probabilistic Transformer</t>
  </si>
  <si>
    <t xml:space="preserve">Generative Pre-trained Transformer</t>
  </si>
  <si>
    <t xml:space="preserve">D</t>
  </si>
  <si>
    <t xml:space="preserve">1 / 0</t>
  </si>
  <si>
    <t xml:space="preserve">GPT is Generative Pre-trained Transformer.</t>
  </si>
  <si>
    <t xml:space="preserve">AI002</t>
  </si>
  <si>
    <t xml:space="preserve">The core architecture behind most modern LLMs is the</t>
  </si>
  <si>
    <t xml:space="preserve">Convolutional neural network</t>
  </si>
  <si>
    <t xml:space="preserve">Transformer</t>
  </si>
  <si>
    <t xml:space="preserve">Recurrent neural network</t>
  </si>
  <si>
    <t xml:space="preserve">Decision tree</t>
  </si>
  <si>
    <t xml:space="preserve">B</t>
  </si>
  <si>
    <t xml:space="preserve">Modern LLMs are built on the transformer architecture.</t>
  </si>
  <si>
    <t xml:space="preserve">AI003</t>
  </si>
  <si>
    <t xml:space="preserve">Medium</t>
  </si>
  <si>
    <t xml:space="preserve">The mechanism that lets a transformer weigh how relevant tokens are to each other is</t>
  </si>
  <si>
    <t xml:space="preserve">Dropout</t>
  </si>
  <si>
    <t xml:space="preserve">Self-attention</t>
  </si>
  <si>
    <t xml:space="preserve">Pooling</t>
  </si>
  <si>
    <t xml:space="preserve">Batch normalization</t>
  </si>
  <si>
    <t xml:space="preserve">Self-attention scores token to token relevance.</t>
  </si>
  <si>
    <t xml:space="preserve">AI004</t>
  </si>
  <si>
    <t xml:space="preserve">Positional encodings in a transformer are used to</t>
  </si>
  <si>
    <t xml:space="preserve">Reduce overfitting</t>
  </si>
  <si>
    <t xml:space="preserve">Normalize gradients</t>
  </si>
  <si>
    <t xml:space="preserve">Inject information about token order</t>
  </si>
  <si>
    <t xml:space="preserve">Compress the vocabulary</t>
  </si>
  <si>
    <t xml:space="preserve">C</t>
  </si>
  <si>
    <t xml:space="preserve">They give the model a sense of sequence order.</t>
  </si>
  <si>
    <t xml:space="preserve">AI005</t>
  </si>
  <si>
    <t xml:space="preserve">The context window of an LLM refers to</t>
  </si>
  <si>
    <t xml:space="preserve">The training dataset size</t>
  </si>
  <si>
    <t xml:space="preserve">GPU memory size</t>
  </si>
  <si>
    <t xml:space="preserve">The number of layers</t>
  </si>
  <si>
    <t xml:space="preserve">The maximum number of tokens processed at once</t>
  </si>
  <si>
    <t xml:space="preserve">It is the token span the model can attend to in one pass.</t>
  </si>
  <si>
    <t xml:space="preserve">AI006</t>
  </si>
  <si>
    <t xml:space="preserve">A token in an LLM is best described as</t>
  </si>
  <si>
    <t xml:space="preserve">A model parameter</t>
  </si>
  <si>
    <t xml:space="preserve">A unit of text such as a word or subword</t>
  </si>
  <si>
    <t xml:space="preserve">A single bit</t>
  </si>
  <si>
    <t xml:space="preserve">A complete sentence</t>
  </si>
  <si>
    <t xml:space="preserve">Text is split into tokens, often subwords.</t>
  </si>
  <si>
    <t xml:space="preserve">AI007</t>
  </si>
  <si>
    <t xml:space="preserve">Which decoding parameter controls randomness of output</t>
  </si>
  <si>
    <t xml:space="preserve">Batch size</t>
  </si>
  <si>
    <t xml:space="preserve">Epoch</t>
  </si>
  <si>
    <t xml:space="preserve">Temperature</t>
  </si>
  <si>
    <t xml:space="preserve">Learning rate</t>
  </si>
  <si>
    <t xml:space="preserve">Temperature scales the output distribution randomness.</t>
  </si>
  <si>
    <t xml:space="preserve">AI008</t>
  </si>
  <si>
    <t xml:space="preserve">Setting temperature to 0 generally makes output</t>
  </si>
  <si>
    <t xml:space="preserve">More random</t>
  </si>
  <si>
    <t xml:space="preserve">Longer</t>
  </si>
  <si>
    <t xml:space="preserve">Multilingual</t>
  </si>
  <si>
    <t xml:space="preserve">More deterministic</t>
  </si>
  <si>
    <t xml:space="preserve">Near zero temperature picks the highest probability tokens.</t>
  </si>
  <si>
    <t xml:space="preserve">AI009</t>
  </si>
  <si>
    <t xml:space="preserve">Hard</t>
  </si>
  <si>
    <t xml:space="preserve">Top-p (nucleus) sampling selects the next token from</t>
  </si>
  <si>
    <t xml:space="preserve">The smallest set of tokens whose cumulative probability exceeds p</t>
  </si>
  <si>
    <t xml:space="preserve">Random tokens</t>
  </si>
  <si>
    <t xml:space="preserve">The single most likely token</t>
  </si>
  <si>
    <t xml:space="preserve">A fixed top 50 tokens</t>
  </si>
  <si>
    <t xml:space="preserve">Nucleus sampling uses the smallest set above probability mass p.</t>
  </si>
  <si>
    <t xml:space="preserve">AI010</t>
  </si>
  <si>
    <t xml:space="preserve">Attention improves on older RNNs mainly by</t>
  </si>
  <si>
    <t xml:space="preserve">Reducing model size</t>
  </si>
  <si>
    <t xml:space="preserve">Image classification</t>
  </si>
  <si>
    <t xml:space="preserve">Handling long range dependencies in parallel</t>
  </si>
  <si>
    <t xml:space="preserve">Color processing</t>
  </si>
  <si>
    <t xml:space="preserve">Attention captures long range links and parallelizes.</t>
  </si>
  <si>
    <t xml:space="preserve">AI011</t>
  </si>
  <si>
    <t xml:space="preserve">The three learned projections in transformer attention are</t>
  </si>
  <si>
    <t xml:space="preserve">Token, Position, Segment</t>
  </si>
  <si>
    <t xml:space="preserve">Query, Key, Value</t>
  </si>
  <si>
    <t xml:space="preserve">Input, Hidden, Output</t>
  </si>
  <si>
    <t xml:space="preserve">Encoder, Decoder, Head</t>
  </si>
  <si>
    <t xml:space="preserve">Attention uses query, key and value projections.</t>
  </si>
  <si>
    <t xml:space="preserve">AI012</t>
  </si>
  <si>
    <t xml:space="preserve">A decoder-only architecture is typical of</t>
  </si>
  <si>
    <t xml:space="preserve">ResNet</t>
  </si>
  <si>
    <t xml:space="preserve">GPT</t>
  </si>
  <si>
    <t xml:space="preserve">YOLO</t>
  </si>
  <si>
    <t xml:space="preserve">BERT</t>
  </si>
  <si>
    <t xml:space="preserve">GPT style models are decoder only.</t>
  </si>
  <si>
    <t xml:space="preserve">AI013</t>
  </si>
  <si>
    <t xml:space="preserve">BERT is best described as</t>
  </si>
  <si>
    <t xml:space="preserve">Encoder-only and bidirectional</t>
  </si>
  <si>
    <t xml:space="preserve">Diffusion</t>
  </si>
  <si>
    <t xml:space="preserve">Decoder-only generative</t>
  </si>
  <si>
    <t xml:space="preserve">Reinforcement</t>
  </si>
  <si>
    <t xml:space="preserve">BERT is an encoder only bidirectional model.</t>
  </si>
  <si>
    <t xml:space="preserve">AI014</t>
  </si>
  <si>
    <t xml:space="preserve">LLM stands for</t>
  </si>
  <si>
    <t xml:space="preserve">Long Latency Memory</t>
  </si>
  <si>
    <t xml:space="preserve">Large Language Model</t>
  </si>
  <si>
    <t xml:space="preserve">Linear Logic Model</t>
  </si>
  <si>
    <t xml:space="preserve">Layered Learning Machine</t>
  </si>
  <si>
    <t xml:space="preserve">LLM means Large Language Model.</t>
  </si>
  <si>
    <t xml:space="preserve">AI015</t>
  </si>
  <si>
    <t xml:space="preserve">Standard self-attention cost grows quadratically with</t>
  </si>
  <si>
    <t xml:space="preserve">Vocabulary size</t>
  </si>
  <si>
    <t xml:space="preserve">Number of layers</t>
  </si>
  <si>
    <t xml:space="preserve">Sequence length</t>
  </si>
  <si>
    <t xml:space="preserve">Attention is quadratic in sequence length.</t>
  </si>
  <si>
    <t xml:space="preserve">AI016</t>
  </si>
  <si>
    <t xml:space="preserve">Zero-shot prompting means</t>
  </si>
  <si>
    <t xml:space="preserve">Asking for a task with no examples</t>
  </si>
  <si>
    <t xml:space="preserve">Using zero temperature</t>
  </si>
  <si>
    <t xml:space="preserve">Training from scratch</t>
  </si>
  <si>
    <t xml:space="preserve">Giving no instructions</t>
  </si>
  <si>
    <t xml:space="preserve">Zero shot provides the task with no examples.</t>
  </si>
  <si>
    <t xml:space="preserve">AI017</t>
  </si>
  <si>
    <t xml:space="preserve">Few-shot prompting provides</t>
  </si>
  <si>
    <t xml:space="preserve">A few epochs</t>
  </si>
  <si>
    <t xml:space="preserve">A few GPUs</t>
  </si>
  <si>
    <t xml:space="preserve">A few tokens only</t>
  </si>
  <si>
    <t xml:space="preserve">A few examples in the prompt</t>
  </si>
  <si>
    <t xml:space="preserve">Few shot includes example demonstrations.</t>
  </si>
  <si>
    <t xml:space="preserve">AI018</t>
  </si>
  <si>
    <t xml:space="preserve">Chain-of-thought prompting improves results by</t>
  </si>
  <si>
    <t xml:space="preserve">Compressing the prompt</t>
  </si>
  <si>
    <t xml:space="preserve">Removing examples</t>
  </si>
  <si>
    <t xml:space="preserve">Encouraging intermediate reasoning steps</t>
  </si>
  <si>
    <t xml:space="preserve">Lowering temperature to 0</t>
  </si>
  <si>
    <t xml:space="preserve">It elicits step by step reasoning.</t>
  </si>
  <si>
    <t xml:space="preserve">AI019</t>
  </si>
  <si>
    <t xml:space="preserve">A system prompt typically</t>
  </si>
  <si>
    <t xml:space="preserve">Trains the model</t>
  </si>
  <si>
    <t xml:space="preserve">Encrypts the output</t>
  </si>
  <si>
    <t xml:space="preserve">Stores embeddings</t>
  </si>
  <si>
    <t xml:space="preserve">Sets overall behavior and role</t>
  </si>
  <si>
    <t xml:space="preserve">It frames the assistant role and rules.</t>
  </si>
  <si>
    <t xml:space="preserve">AI020</t>
  </si>
  <si>
    <t xml:space="preserve">A common way to reduce prompt injection risk is to</t>
  </si>
  <si>
    <t xml:space="preserve">Increase temperature</t>
  </si>
  <si>
    <t xml:space="preserve">Use longer outputs</t>
  </si>
  <si>
    <t xml:space="preserve">Clearly delimit and isolate untrusted input</t>
  </si>
  <si>
    <t xml:space="preserve">Remove the system prompt</t>
  </si>
  <si>
    <t xml:space="preserve">Separating untrusted input limits injection.</t>
  </si>
  <si>
    <t xml:space="preserve">AI021</t>
  </si>
  <si>
    <t xml:space="preserve">ReAct prompting combines</t>
  </si>
  <si>
    <t xml:space="preserve">Reading and acting</t>
  </si>
  <si>
    <t xml:space="preserve">Regularization and activation</t>
  </si>
  <si>
    <t xml:space="preserve">Recall and attention</t>
  </si>
  <si>
    <t xml:space="preserve">Reasoning and acting with tools</t>
  </si>
  <si>
    <t xml:space="preserve">ReAct interleaves reasoning and tool actions.</t>
  </si>
  <si>
    <t xml:space="preserve">AI022</t>
  </si>
  <si>
    <t xml:space="preserve">Asking a model to think step by step is an example of</t>
  </si>
  <si>
    <t xml:space="preserve">A chain-of-thought trigger</t>
  </si>
  <si>
    <t xml:space="preserve">Fine-tuning</t>
  </si>
  <si>
    <t xml:space="preserve">Embedding</t>
  </si>
  <si>
    <t xml:space="preserve">Quantization</t>
  </si>
  <si>
    <t xml:space="preserve">It triggers chain of thought reasoning.</t>
  </si>
  <si>
    <t xml:space="preserve">AI023</t>
  </si>
  <si>
    <t xml:space="preserve">Prompt grounding usually means</t>
  </si>
  <si>
    <t xml:space="preserve">Providing factual context to rely on</t>
  </si>
  <si>
    <t xml:space="preserve">Reducing tokens</t>
  </si>
  <si>
    <t xml:space="preserve">Disabling sampling</t>
  </si>
  <si>
    <t xml:space="preserve">Lowering the temperature</t>
  </si>
  <si>
    <t xml:space="preserve">Grounding supplies trusted context.</t>
  </si>
  <si>
    <t xml:space="preserve">AI024</t>
  </si>
  <si>
    <t xml:space="preserve">RAG stands for</t>
  </si>
  <si>
    <t xml:space="preserve">Recurrent Attention Gate</t>
  </si>
  <si>
    <t xml:space="preserve">Ranked Answer Generator</t>
  </si>
  <si>
    <t xml:space="preserve">Random Access Generation</t>
  </si>
  <si>
    <t xml:space="preserve">Retrieval-Augmented Generation</t>
  </si>
  <si>
    <t xml:space="preserve">RAG is Retrieval Augmented Generation.</t>
  </si>
  <si>
    <t xml:space="preserve">AI025</t>
  </si>
  <si>
    <t xml:space="preserve">The main purpose of RAG is to</t>
  </si>
  <si>
    <t xml:space="preserve">Ground responses in retrieved knowledge</t>
  </si>
  <si>
    <t xml:space="preserve">Replace embeddings</t>
  </si>
  <si>
    <t xml:space="preserve">Speed up training</t>
  </si>
  <si>
    <t xml:space="preserve">Compress the model</t>
  </si>
  <si>
    <t xml:space="preserve">RAG grounds answers in external sources.</t>
  </si>
  <si>
    <t xml:space="preserve">AI026</t>
  </si>
  <si>
    <t xml:space="preserve">An embedding is</t>
  </si>
  <si>
    <t xml:space="preserve">A numeric vector representation of data</t>
  </si>
  <si>
    <t xml:space="preserve">A database index</t>
  </si>
  <si>
    <t xml:space="preserve">A compressed image</t>
  </si>
  <si>
    <t xml:space="preserve">A prompt template</t>
  </si>
  <si>
    <t xml:space="preserve">Embeddings are numeric vectors capturing meaning.</t>
  </si>
  <si>
    <t xml:space="preserve">AI027</t>
  </si>
  <si>
    <t xml:space="preserve">A vector database is optimized for</t>
  </si>
  <si>
    <t xml:space="preserve">Relational joins</t>
  </si>
  <si>
    <t xml:space="preserve">Exact string matching</t>
  </si>
  <si>
    <t xml:space="preserve">File storage</t>
  </si>
  <si>
    <t xml:space="preserve">Similarity search over high dimensional vectors</t>
  </si>
  <si>
    <t xml:space="preserve">Vector DBs do nearest neighbor similarity search.</t>
  </si>
  <si>
    <t xml:space="preserve">AI028</t>
  </si>
  <si>
    <t xml:space="preserve">A metric commonly used to compare embeddings is</t>
  </si>
  <si>
    <t xml:space="preserve">F1 score</t>
  </si>
  <si>
    <t xml:space="preserve">Cosine similarity</t>
  </si>
  <si>
    <t xml:space="preserve">BLEU</t>
  </si>
  <si>
    <t xml:space="preserve">Mean squared error</t>
  </si>
  <si>
    <t xml:space="preserve">Cosine similarity measures vector closeness.</t>
  </si>
  <si>
    <t xml:space="preserve">AI029</t>
  </si>
  <si>
    <t xml:space="preserve">Chunking documents before embedding is done to</t>
  </si>
  <si>
    <t xml:space="preserve">Translate them</t>
  </si>
  <si>
    <t xml:space="preserve">Encrypt them</t>
  </si>
  <si>
    <t xml:space="preserve">Reduce vocabulary</t>
  </si>
  <si>
    <t xml:space="preserve">Fit content into retrievable units</t>
  </si>
  <si>
    <t xml:space="preserve">Chunks make retrieval granular and relevant.</t>
  </si>
  <si>
    <t xml:space="preserve">AI030</t>
  </si>
  <si>
    <t xml:space="preserve">Top-k retrieval in RAG refers to</t>
  </si>
  <si>
    <t xml:space="preserve">Selecting the k most similar chunks</t>
  </si>
  <si>
    <t xml:space="preserve">Sampling k tokens</t>
  </si>
  <si>
    <t xml:space="preserve">Running k epochs</t>
  </si>
  <si>
    <t xml:space="preserve">Keeping k layers</t>
  </si>
  <si>
    <t xml:space="preserve">It returns the k closest chunks to the query.</t>
  </si>
  <si>
    <t xml:space="preserve">AI031</t>
  </si>
  <si>
    <t xml:space="preserve">A common cause of poor RAG answers is</t>
  </si>
  <si>
    <t xml:space="preserve">Irrelevant or poorly chunked context</t>
  </si>
  <si>
    <t xml:space="preserve">Using a system prompt</t>
  </si>
  <si>
    <t xml:space="preserve">Using embeddings</t>
  </si>
  <si>
    <t xml:space="preserve">Too low temperature</t>
  </si>
  <si>
    <t xml:space="preserve">Bad retrieval or chunking degrades answers.</t>
  </si>
  <si>
    <t xml:space="preserve">AI032</t>
  </si>
  <si>
    <t xml:space="preserve">Hybrid search in retrieval usually combines</t>
  </si>
  <si>
    <t xml:space="preserve">Two GPUs</t>
  </si>
  <si>
    <t xml:space="preserve">Train and test sets</t>
  </si>
  <si>
    <t xml:space="preserve">Two LLMs</t>
  </si>
  <si>
    <t xml:space="preserve">Keyword and vector search</t>
  </si>
  <si>
    <t xml:space="preserve">Hybrid mixes sparse keyword and dense vector search.</t>
  </si>
  <si>
    <t xml:space="preserve">AI033</t>
  </si>
  <si>
    <t xml:space="preserve">ANN indexes like HNSW are used to</t>
  </si>
  <si>
    <t xml:space="preserve">Train models</t>
  </si>
  <si>
    <t xml:space="preserve">Label data</t>
  </si>
  <si>
    <t xml:space="preserve">Speed up similarity search at scale</t>
  </si>
  <si>
    <t xml:space="preserve">Encrypt vectors</t>
  </si>
  <si>
    <t xml:space="preserve">Approximate nearest neighbor indexes accelerate search.</t>
  </si>
  <si>
    <t xml:space="preserve">AI034</t>
  </si>
  <si>
    <t xml:space="preserve">Which is NOT a vector database</t>
  </si>
  <si>
    <t xml:space="preserve">Weaviate</t>
  </si>
  <si>
    <t xml:space="preserve">PostgreSQL with pgvector</t>
  </si>
  <si>
    <t xml:space="preserve">Apache Kafka</t>
  </si>
  <si>
    <t xml:space="preserve">Pinecone</t>
  </si>
  <si>
    <t xml:space="preserve">Kafka is a streaming platform, not a vector store.</t>
  </si>
  <si>
    <t xml:space="preserve">AI035</t>
  </si>
  <si>
    <t xml:space="preserve">Re-ranking in a RAG pipeline</t>
  </si>
  <si>
    <t xml:space="preserve">Re-trains the model</t>
  </si>
  <si>
    <t xml:space="preserve">Re-orders retrieved candidates by relevance</t>
  </si>
  <si>
    <t xml:space="preserve">Renames chunks</t>
  </si>
  <si>
    <t xml:space="preserve">Reduces dimensions</t>
  </si>
  <si>
    <t xml:space="preserve">A re-ranker sorts candidates before the LLM sees them.</t>
  </si>
  <si>
    <t xml:space="preserve">AI036</t>
  </si>
  <si>
    <t xml:space="preserve">Embedding dimensionality refers to</t>
  </si>
  <si>
    <t xml:space="preserve">Token limit</t>
  </si>
  <si>
    <t xml:space="preserve">Number of GPUs</t>
  </si>
  <si>
    <t xml:space="preserve">Length of the vector per item</t>
  </si>
  <si>
    <t xml:space="preserve">Number of documents</t>
  </si>
  <si>
    <t xml:space="preserve">It is the size of each embedding vector.</t>
  </si>
  <si>
    <t xml:space="preserve">AI037</t>
  </si>
  <si>
    <t xml:space="preserve">Embeddings enable semantic search because they</t>
  </si>
  <si>
    <t xml:space="preserve">Encrypt text</t>
  </si>
  <si>
    <t xml:space="preserve">Preserve spelling</t>
  </si>
  <si>
    <t xml:space="preserve">Allow comparison by meaning</t>
  </si>
  <si>
    <t xml:space="preserve">Translate text</t>
  </si>
  <si>
    <t xml:space="preserve">Similar meanings map to nearby vectors.</t>
  </si>
  <si>
    <t xml:space="preserve">AI038</t>
  </si>
  <si>
    <t xml:space="preserve">A semantic cache in an LLM app stores</t>
  </si>
  <si>
    <t xml:space="preserve">Model weights</t>
  </si>
  <si>
    <t xml:space="preserve">Logs only</t>
  </si>
  <si>
    <t xml:space="preserve">Prior query embeddings and responses for reuse</t>
  </si>
  <si>
    <t xml:space="preserve">GPUs</t>
  </si>
  <si>
    <t xml:space="preserve">It reuses answers for semantically similar queries.</t>
  </si>
  <si>
    <t xml:space="preserve">AI039</t>
  </si>
  <si>
    <t xml:space="preserve">Fine-tuning an LLM means</t>
  </si>
  <si>
    <t xml:space="preserve">Further training a pre-trained model on task data</t>
  </si>
  <si>
    <t xml:space="preserve">Prompting it</t>
  </si>
  <si>
    <t xml:space="preserve">Quantizing it</t>
  </si>
  <si>
    <t xml:space="preserve">Caching outputs</t>
  </si>
  <si>
    <t xml:space="preserve">Fine tuning adapts a base model with more training.</t>
  </si>
  <si>
    <t xml:space="preserve">AI040</t>
  </si>
  <si>
    <t xml:space="preserve">LoRA is a method for</t>
  </si>
  <si>
    <t xml:space="preserve">Full retraining</t>
  </si>
  <si>
    <t xml:space="preserve">Tokenization</t>
  </si>
  <si>
    <t xml:space="preserve">Parameter-efficient fine-tuning via low-rank adapters</t>
  </si>
  <si>
    <t xml:space="preserve">Vector search</t>
  </si>
  <si>
    <t xml:space="preserve">LoRA trains small low rank adapters.</t>
  </si>
  <si>
    <t xml:space="preserve">AI041</t>
  </si>
  <si>
    <t xml:space="preserve">PEFT stands for</t>
  </si>
  <si>
    <t xml:space="preserve">Predictive Embedding Function Tool</t>
  </si>
  <si>
    <t xml:space="preserve">Parameter-Efficient Fine-Tuning</t>
  </si>
  <si>
    <t xml:space="preserve">Pre-trained Edge Fast Tuning</t>
  </si>
  <si>
    <t xml:space="preserve">Partial Encoder Feature Transfer</t>
  </si>
  <si>
    <t xml:space="preserve">PEFT is parameter efficient fine tuning.</t>
  </si>
  <si>
    <t xml:space="preserve">AI042</t>
  </si>
  <si>
    <t xml:space="preserve">RLHF stands for</t>
  </si>
  <si>
    <t xml:space="preserve">Ranked Loss Hyper Function</t>
  </si>
  <si>
    <t xml:space="preserve">Reinforcement Learning from Human Feedback</t>
  </si>
  <si>
    <t xml:space="preserve">Recurrent Learning Hidden Features</t>
  </si>
  <si>
    <t xml:space="preserve">Reduced Latency Hybrid Filter</t>
  </si>
  <si>
    <t xml:space="preserve">RLHF aligns models using human feedback.</t>
  </si>
  <si>
    <t xml:space="preserve">AI043</t>
  </si>
  <si>
    <t xml:space="preserve">Pre-training of an LLM typically uses</t>
  </si>
  <si>
    <t xml:space="preserve">Reinforcement only</t>
  </si>
  <si>
    <t xml:space="preserve">Labeled task data only</t>
  </si>
  <si>
    <t xml:space="preserve">Human ratings only</t>
  </si>
  <si>
    <t xml:space="preserve">Large unlabeled text with self-supervision</t>
  </si>
  <si>
    <t xml:space="preserve">Pre-training is self supervised on large corpora.</t>
  </si>
  <si>
    <t xml:space="preserve">AI044</t>
  </si>
  <si>
    <t xml:space="preserve">Quantization of a model primarily reduces</t>
  </si>
  <si>
    <t xml:space="preserve">Memory and compute via lower precision weights</t>
  </si>
  <si>
    <t xml:space="preserve">Context window</t>
  </si>
  <si>
    <t xml:space="preserve">Vocabulary</t>
  </si>
  <si>
    <t xml:space="preserve">Accuracy guarantees</t>
  </si>
  <si>
    <t xml:space="preserve">Quantization lowers numeric precision to save resources.</t>
  </si>
  <si>
    <t xml:space="preserve">AI045</t>
  </si>
  <si>
    <t xml:space="preserve">Distillation produces</t>
  </si>
  <si>
    <t xml:space="preserve">A smaller student mimicking a larger teacher</t>
  </si>
  <si>
    <t xml:space="preserve">A larger model</t>
  </si>
  <si>
    <t xml:space="preserve">An embedding</t>
  </si>
  <si>
    <t xml:space="preserve">A vector index</t>
  </si>
  <si>
    <t xml:space="preserve">Distillation transfers knowledge to a smaller model.</t>
  </si>
  <si>
    <t xml:space="preserve">AI046</t>
  </si>
  <si>
    <t xml:space="preserve">Catastrophic forgetting during fine-tuning is when</t>
  </si>
  <si>
    <t xml:space="preserve">The model loses previously learned capabilities</t>
  </si>
  <si>
    <t xml:space="preserve">Embeddings expire</t>
  </si>
  <si>
    <t xml:space="preserve">The cache clears</t>
  </si>
  <si>
    <t xml:space="preserve">The GPU overheats</t>
  </si>
  <si>
    <t xml:space="preserve">New training overwrites prior knowledge.</t>
  </si>
  <si>
    <t xml:space="preserve">AI047</t>
  </si>
  <si>
    <t xml:space="preserve">An LLM hallucination is</t>
  </si>
  <si>
    <t xml:space="preserve">A slow response</t>
  </si>
  <si>
    <t xml:space="preserve">Confident but false output</t>
  </si>
  <si>
    <t xml:space="preserve">A prompt injection</t>
  </si>
  <si>
    <t xml:space="preserve">A GPU error</t>
  </si>
  <si>
    <t xml:space="preserve">Hallucination is fabricated yet confident content.</t>
  </si>
  <si>
    <t xml:space="preserve">AI048</t>
  </si>
  <si>
    <t xml:space="preserve">Which best reduces hallucination in factual Q and A</t>
  </si>
  <si>
    <t xml:space="preserve">Higher temperature</t>
  </si>
  <si>
    <t xml:space="preserve">Grounding answers in retrieved sources</t>
  </si>
  <si>
    <t xml:space="preserve">Longer outputs</t>
  </si>
  <si>
    <t xml:space="preserve">Removing the system prompt</t>
  </si>
  <si>
    <t xml:space="preserve">Grounding with RAG reduces fabrication.</t>
  </si>
  <si>
    <t xml:space="preserve">AI049</t>
  </si>
  <si>
    <t xml:space="preserve">Guardrails in an LLM system are</t>
  </si>
  <si>
    <t xml:space="preserve">Tokenizers</t>
  </si>
  <si>
    <t xml:space="preserve">Embeddings</t>
  </si>
  <si>
    <t xml:space="preserve">Controls that constrain or validate inputs and outputs</t>
  </si>
  <si>
    <t xml:space="preserve">GPU coolers</t>
  </si>
  <si>
    <t xml:space="preserve">Guardrails enforce safe and valid behavior.</t>
  </si>
  <si>
    <t xml:space="preserve">AI050</t>
  </si>
  <si>
    <t xml:space="preserve">BLEU and ROUGE are metrics mainly for</t>
  </si>
  <si>
    <t xml:space="preserve">Text generation, translation and summarization quality</t>
  </si>
  <si>
    <t xml:space="preserve">Classification accuracy</t>
  </si>
  <si>
    <t xml:space="preserve">Image generation</t>
  </si>
  <si>
    <t xml:space="preserve">They score generated text against references.</t>
  </si>
  <si>
    <t xml:space="preserve">AI051</t>
  </si>
  <si>
    <t xml:space="preserve">LLM-as-a-judge evaluation means</t>
  </si>
  <si>
    <t xml:space="preserve">Random scoring</t>
  </si>
  <si>
    <t xml:space="preserve">A courtroom app</t>
  </si>
  <si>
    <t xml:space="preserve">Using a model to score or compare outputs</t>
  </si>
  <si>
    <t xml:space="preserve">Human grading only</t>
  </si>
  <si>
    <t xml:space="preserve">Another model rates output quality.</t>
  </si>
  <si>
    <t xml:space="preserve">AI052</t>
  </si>
  <si>
    <t xml:space="preserve">Prompt injection is an attack where</t>
  </si>
  <si>
    <t xml:space="preserve">Malicious input makes the model ignore intended instructions</t>
  </si>
  <si>
    <t xml:space="preserve">Temperature is raised</t>
  </si>
  <si>
    <t xml:space="preserve">The vector DB is deleted</t>
  </si>
  <si>
    <t xml:space="preserve">The GPU is overloaded</t>
  </si>
  <si>
    <t xml:space="preserve">Injected text hijacks the model instructions.</t>
  </si>
  <si>
    <t xml:space="preserve">AI053</t>
  </si>
  <si>
    <t xml:space="preserve">A golden dataset in evaluation is</t>
  </si>
  <si>
    <t xml:space="preserve">Curated inputs with known correct outputs</t>
  </si>
  <si>
    <t xml:space="preserve">Expensive GPUs</t>
  </si>
  <si>
    <t xml:space="preserve">It is a trusted benchmark set for testing.</t>
  </si>
  <si>
    <t xml:space="preserve">AI054</t>
  </si>
  <si>
    <t xml:space="preserve">A sign of data leakage in evaluation is</t>
  </si>
  <si>
    <t xml:space="preserve">Test data appeared in training data</t>
  </si>
  <si>
    <t xml:space="preserve">Small batch size</t>
  </si>
  <si>
    <t xml:space="preserve">Low temperature</t>
  </si>
  <si>
    <t xml:space="preserve">Leakage inflates scores unfairly.</t>
  </si>
  <si>
    <t xml:space="preserve">AI055</t>
  </si>
  <si>
    <t xml:space="preserve">Toxicity filtering is an example of</t>
  </si>
  <si>
    <t xml:space="preserve">Retrieval</t>
  </si>
  <si>
    <t xml:space="preserve">Performance tuning</t>
  </si>
  <si>
    <t xml:space="preserve">A safety guardrail control</t>
  </si>
  <si>
    <t xml:space="preserve">It is a safety control on outputs.</t>
  </si>
  <si>
    <t xml:space="preserve">AI056</t>
  </si>
  <si>
    <t xml:space="preserve">Pinning model versions in production helps</t>
  </si>
  <si>
    <t xml:space="preserve">Keep behavior reproducible as providers update models</t>
  </si>
  <si>
    <t xml:space="preserve">Reduce tokens</t>
  </si>
  <si>
    <t xml:space="preserve">Save money only</t>
  </si>
  <si>
    <t xml:space="preserve">Version pinning protects reproducibility.</t>
  </si>
  <si>
    <t xml:space="preserve">AI057</t>
  </si>
  <si>
    <t xml:space="preserve">An LLM agent typically can</t>
  </si>
  <si>
    <t xml:space="preserve">Only chat</t>
  </si>
  <si>
    <t xml:space="preserve">Plan and call tools or APIs to act</t>
  </si>
  <si>
    <t xml:space="preserve">Only translate</t>
  </si>
  <si>
    <t xml:space="preserve">Only embed</t>
  </si>
  <si>
    <t xml:space="preserve">Agents plan and take tool actions.</t>
  </si>
  <si>
    <t xml:space="preserve">AI058</t>
  </si>
  <si>
    <t xml:space="preserve">Function calling or tool use lets an LLM</t>
  </si>
  <si>
    <t xml:space="preserve">Encrypt prompts</t>
  </si>
  <si>
    <t xml:space="preserve">Invoke external functions with structured arguments</t>
  </si>
  <si>
    <t xml:space="preserve">Train itself</t>
  </si>
  <si>
    <t xml:space="preserve">Compress weights</t>
  </si>
  <si>
    <t xml:space="preserve">The model calls tools with structured parameters.</t>
  </si>
  <si>
    <t xml:space="preserve">AI059</t>
  </si>
  <si>
    <t xml:space="preserve">MCP, the Model Context Protocol, is best described as</t>
  </si>
  <si>
    <t xml:space="preserve">A tokenizer</t>
  </si>
  <si>
    <t xml:space="preserve">A standard for connecting models to tools and data</t>
  </si>
  <si>
    <t xml:space="preserve">A vector metric</t>
  </si>
  <si>
    <t xml:space="preserve">A GPU driver</t>
  </si>
  <si>
    <t xml:space="preserve">MCP standardizes model to tool and data connections.</t>
  </si>
  <si>
    <t xml:space="preserve">AI060</t>
  </si>
  <si>
    <t xml:space="preserve">A risk of autonomous tool-calling agents is</t>
  </si>
  <si>
    <t xml:space="preserve">Faster embeddings</t>
  </si>
  <si>
    <t xml:space="preserve">Lower temperature</t>
  </si>
  <si>
    <t xml:space="preserve">Smaller context</t>
  </si>
  <si>
    <t xml:space="preserve">Unintended or unsafe actions without guardrails</t>
  </si>
  <si>
    <t xml:space="preserve">Agents can act unsafely without controls.</t>
  </si>
  <si>
    <t xml:space="preserve">AI061</t>
  </si>
  <si>
    <t xml:space="preserve">Frameworks like LangChain or LlamaIndex mainly help</t>
  </si>
  <si>
    <t xml:space="preserve">Train GPUs</t>
  </si>
  <si>
    <t xml:space="preserve">Encrypt data</t>
  </si>
  <si>
    <t xml:space="preserve">Compose LLM calls, tools, memory and retrieval</t>
  </si>
  <si>
    <t xml:space="preserve">Label images</t>
  </si>
  <si>
    <t xml:space="preserve">They orchestrate LLM application components.</t>
  </si>
  <si>
    <t xml:space="preserve">AI062</t>
  </si>
  <si>
    <t xml:space="preserve">Memory in an agent usually stores</t>
  </si>
  <si>
    <t xml:space="preserve">Past interactions and state for future steps</t>
  </si>
  <si>
    <t xml:space="preserve">GPU temperature</t>
  </si>
  <si>
    <t xml:space="preserve">Tokens only</t>
  </si>
  <si>
    <t xml:space="preserve">Agent memory retains conversation and state.</t>
  </si>
  <si>
    <t xml:space="preserve">AI063</t>
  </si>
  <si>
    <t xml:space="preserve">A tool description matters because it</t>
  </si>
  <si>
    <t xml:space="preserve">Cools the GPU</t>
  </si>
  <si>
    <t xml:space="preserve">Chunks text</t>
  </si>
  <si>
    <t xml:space="preserve">Tells the model when and how to use the tool</t>
  </si>
  <si>
    <t xml:space="preserve">Sets temperature</t>
  </si>
  <si>
    <t xml:space="preserve">Clear descriptions guide correct tool use.</t>
  </si>
  <si>
    <t xml:space="preserve">AI064</t>
  </si>
  <si>
    <t xml:space="preserve">Multi-agent systems coordinate by</t>
  </si>
  <si>
    <t xml:space="preserve">Disabling attention</t>
  </si>
  <si>
    <t xml:space="preserve">Lowering p</t>
  </si>
  <si>
    <t xml:space="preserve">Passing messages or tasks between specialized agents</t>
  </si>
  <si>
    <t xml:space="preserve">Sharing GPUs only</t>
  </si>
  <si>
    <t xml:space="preserve">Specialized agents exchange tasks and messages.</t>
  </si>
  <si>
    <t xml:space="preserve">AI065</t>
  </si>
  <si>
    <t xml:space="preserve">Diffusion models are most associated with</t>
  </si>
  <si>
    <t xml:space="preserve">Text classification</t>
  </si>
  <si>
    <t xml:space="preserve">Diffusion models generate images.</t>
  </si>
  <si>
    <t xml:space="preserve">AI066</t>
  </si>
  <si>
    <t xml:space="preserve">GAN stands for</t>
  </si>
  <si>
    <t xml:space="preserve">Gated Adaptive Node</t>
  </si>
  <si>
    <t xml:space="preserve">Generative Adversarial Network</t>
  </si>
  <si>
    <t xml:space="preserve">Gradient Average Norm</t>
  </si>
  <si>
    <t xml:space="preserve">General Attention Network</t>
  </si>
  <si>
    <t xml:space="preserve">GAN is Generative Adversarial Network.</t>
  </si>
  <si>
    <t xml:space="preserve">AI067</t>
  </si>
  <si>
    <t xml:space="preserve">In a GAN the two competing networks are</t>
  </si>
  <si>
    <t xml:space="preserve">Encoder and decoder</t>
  </si>
  <si>
    <t xml:space="preserve">Query and key</t>
  </si>
  <si>
    <t xml:space="preserve">Generator and discriminator</t>
  </si>
  <si>
    <t xml:space="preserve">Teacher and student</t>
  </si>
  <si>
    <t xml:space="preserve">A generator and a discriminator compete.</t>
  </si>
  <si>
    <t xml:space="preserve">AI068</t>
  </si>
  <si>
    <t xml:space="preserve">Multimodal means the model handles</t>
  </si>
  <si>
    <t xml:space="preserve">Multiple users</t>
  </si>
  <si>
    <t xml:space="preserve">Multiple languages only</t>
  </si>
  <si>
    <t xml:space="preserve">Multiple data types such as text and images</t>
  </si>
  <si>
    <t xml:space="preserve">Multiple GPUs</t>
  </si>
  <si>
    <t xml:space="preserve">Multimodal spans several data types.</t>
  </si>
  <si>
    <t xml:space="preserve">AI069</t>
  </si>
  <si>
    <t xml:space="preserve">CLIP is known for</t>
  </si>
  <si>
    <t xml:space="preserve">Audio compression</t>
  </si>
  <si>
    <t xml:space="preserve">Aligning text and image embeddings</t>
  </si>
  <si>
    <t xml:space="preserve">CLIP maps text and images into a shared space.</t>
  </si>
  <si>
    <t xml:space="preserve">AI070</t>
  </si>
  <si>
    <t xml:space="preserve">Diffusion models generate images by</t>
  </si>
  <si>
    <t xml:space="preserve">Compressing JPEGs</t>
  </si>
  <si>
    <t xml:space="preserve">Cropping</t>
  </si>
  <si>
    <t xml:space="preserve">Iteratively denoising from random noise</t>
  </si>
  <si>
    <t xml:space="preserve">Keyword search</t>
  </si>
  <si>
    <t xml:space="preserve">They denoise step by step from noise.</t>
  </si>
  <si>
    <t xml:space="preserve">AI071</t>
  </si>
  <si>
    <t xml:space="preserve">Stable Diffusion is an example of</t>
  </si>
  <si>
    <t xml:space="preserve">A vector DB</t>
  </si>
  <si>
    <t xml:space="preserve">An LLM</t>
  </si>
  <si>
    <t xml:space="preserve">A text-to-image generative model</t>
  </si>
  <si>
    <t xml:space="preserve">It generates images from text prompts.</t>
  </si>
  <si>
    <t xml:space="preserve">AI072</t>
  </si>
  <si>
    <t xml:space="preserve">Inference refers to</t>
  </si>
  <si>
    <t xml:space="preserve">Labeling data</t>
  </si>
  <si>
    <t xml:space="preserve">Chunking</t>
  </si>
  <si>
    <t xml:space="preserve">Running a trained model to produce outputs</t>
  </si>
  <si>
    <t xml:space="preserve">Training the model</t>
  </si>
  <si>
    <t xml:space="preserve">Inference is using the model to predict.</t>
  </si>
  <si>
    <t xml:space="preserve">AI073</t>
  </si>
  <si>
    <t xml:space="preserve">A KV cache during LLM inference stores</t>
  </si>
  <si>
    <t xml:space="preserve">Key and value attention states to speed generation</t>
  </si>
  <si>
    <t xml:space="preserve">Vector DB entries</t>
  </si>
  <si>
    <t xml:space="preserve">User logs</t>
  </si>
  <si>
    <t xml:space="preserve">The KV cache avoids recomputing attention states.</t>
  </si>
  <si>
    <t xml:space="preserve">AI074</t>
  </si>
  <si>
    <t xml:space="preserve">Latency in LLM apps is often reduced by</t>
  </si>
  <si>
    <t xml:space="preserve">Larger prompts</t>
  </si>
  <si>
    <t xml:space="preserve">Streaming tokens to the user</t>
  </si>
  <si>
    <t xml:space="preserve">Increasing temperature</t>
  </si>
  <si>
    <t xml:space="preserve">More epochs</t>
  </si>
  <si>
    <t xml:space="preserve">Streaming lowers perceived latency.</t>
  </si>
  <si>
    <t xml:space="preserve">AI075</t>
  </si>
  <si>
    <t xml:space="preserve">Tokens per second measures</t>
  </si>
  <si>
    <t xml:space="preserve">Network ping</t>
  </si>
  <si>
    <t xml:space="preserve">Training time</t>
  </si>
  <si>
    <t xml:space="preserve">Inference throughput</t>
  </si>
  <si>
    <t xml:space="preserve">Disk speed</t>
  </si>
  <si>
    <t xml:space="preserve">It is a throughput measure for generation.</t>
  </si>
  <si>
    <t xml:space="preserve">AI076</t>
  </si>
  <si>
    <t xml:space="preserve">A major driver of LLM API cost is</t>
  </si>
  <si>
    <t xml:space="preserve">Time of day</t>
  </si>
  <si>
    <t xml:space="preserve">Screen size</t>
  </si>
  <si>
    <t xml:space="preserve">Number of users only</t>
  </si>
  <si>
    <t xml:space="preserve">Number of input and output tokens</t>
  </si>
  <si>
    <t xml:space="preserve">Pricing is largely per token.</t>
  </si>
  <si>
    <t xml:space="preserve">AI077</t>
  </si>
  <si>
    <t xml:space="preserve">Batching requests at inference helps</t>
  </si>
  <si>
    <t xml:space="preserve">Reduce accuracy</t>
  </si>
  <si>
    <t xml:space="preserve">Increase per-request randomness</t>
  </si>
  <si>
    <t xml:space="preserve">Expand vocabulary</t>
  </si>
  <si>
    <t xml:space="preserve">Improve GPU utilization and throughput</t>
  </si>
  <si>
    <t xml:space="preserve">Batching raises hardware efficiency.</t>
  </si>
  <si>
    <t xml:space="preserve">AI078</t>
  </si>
  <si>
    <t xml:space="preserve">Using a smaller model for simple tasks gives</t>
  </si>
  <si>
    <t xml:space="preserve">Bigger context</t>
  </si>
  <si>
    <t xml:space="preserve">More accuracy always</t>
  </si>
  <si>
    <t xml:space="preserve">More hallucination</t>
  </si>
  <si>
    <t xml:space="preserve">Lower cost and latency</t>
  </si>
  <si>
    <t xml:space="preserve">Smaller models are cheaper and faster.</t>
  </si>
  <si>
    <t xml:space="preserve">AI079</t>
  </si>
  <si>
    <t xml:space="preserve">AI most broadly refers to</t>
  </si>
  <si>
    <t xml:space="preserve">Systems performing tasks needing human-like intelligence</t>
  </si>
  <si>
    <t xml:space="preserve">Any database</t>
  </si>
  <si>
    <t xml:space="preserve">Only chatbots</t>
  </si>
  <si>
    <t xml:space="preserve">Only robots</t>
  </si>
  <si>
    <t xml:space="preserve">AI covers intelligent task performance.</t>
  </si>
  <si>
    <t xml:space="preserve">AI080</t>
  </si>
  <si>
    <t xml:space="preserve">Supervised learning requires</t>
  </si>
  <si>
    <t xml:space="preserve">No data</t>
  </si>
  <si>
    <t xml:space="preserve">Labeled training data</t>
  </si>
  <si>
    <t xml:space="preserve">Only images</t>
  </si>
  <si>
    <t xml:space="preserve">Supervised learning needs labels.</t>
  </si>
  <si>
    <t xml:space="preserve">AI081</t>
  </si>
  <si>
    <t xml:space="preserve">A star (A*) is an algorithm for</t>
  </si>
  <si>
    <t xml:space="preserve">Sorting</t>
  </si>
  <si>
    <t xml:space="preserve">Encryption</t>
  </si>
  <si>
    <t xml:space="preserve">Pathfinding and search</t>
  </si>
  <si>
    <t xml:space="preserve">A* finds optimal paths via heuristics.</t>
  </si>
  <si>
    <t xml:space="preserve">AI082</t>
  </si>
  <si>
    <t xml:space="preserve">NLP stands for</t>
  </si>
  <si>
    <t xml:space="preserve">Natural Language Processing</t>
  </si>
  <si>
    <t xml:space="preserve">Normalized Loss Pass</t>
  </si>
  <si>
    <t xml:space="preserve">Node Link Protocol</t>
  </si>
  <si>
    <t xml:space="preserve">Neural Linear Programming</t>
  </si>
  <si>
    <t xml:space="preserve">NLP is Natural Language Processing.</t>
  </si>
  <si>
    <t xml:space="preserve">AI083</t>
  </si>
  <si>
    <t xml:space="preserve">Locating and labeling objects in an image is</t>
  </si>
  <si>
    <t xml:space="preserve">Object detection</t>
  </si>
  <si>
    <t xml:space="preserve">Clustering</t>
  </si>
  <si>
    <t xml:space="preserve">Summarization</t>
  </si>
  <si>
    <t xml:space="preserve">Object detection finds and labels objects.</t>
  </si>
  <si>
    <t xml:space="preserve">AI084</t>
  </si>
  <si>
    <t xml:space="preserve">A chatbot that follows fixed rules without learning is</t>
  </si>
  <si>
    <t xml:space="preserve">A rule-based system</t>
  </si>
  <si>
    <t xml:space="preserve">Generative AI</t>
  </si>
  <si>
    <t xml:space="preserve">RLHF</t>
  </si>
  <si>
    <t xml:space="preserve">Rule based bots do not learn.</t>
  </si>
  <si>
    <t xml:space="preserve">AI085</t>
  </si>
  <si>
    <t xml:space="preserve">Overfitting means a model</t>
  </si>
  <si>
    <t xml:space="preserve">Generalizes well</t>
  </si>
  <si>
    <t xml:space="preserve">Uses too few parameters</t>
  </si>
  <si>
    <t xml:space="preserve">Trains too slowly</t>
  </si>
  <si>
    <t xml:space="preserve">Memorizes training data and fails on new data</t>
  </si>
  <si>
    <t xml:space="preserve">Overfit models do not generalize.</t>
  </si>
  <si>
    <t xml:space="preserve">AI086</t>
  </si>
  <si>
    <t xml:space="preserve">The Turing Test assesses</t>
  </si>
  <si>
    <t xml:space="preserve">Model size</t>
  </si>
  <si>
    <t xml:space="preserve">Token count</t>
  </si>
  <si>
    <t xml:space="preserve">GPU speed</t>
  </si>
  <si>
    <t xml:space="preserve">A machine showing human-like conversation</t>
  </si>
  <si>
    <t xml:space="preserve">It tests indistinguishable human like dialogue.</t>
  </si>
  <si>
    <t xml:space="preserve">AI087</t>
  </si>
  <si>
    <t xml:space="preserve">A knowledge graph represents information as</t>
  </si>
  <si>
    <t xml:space="preserve">Gradients</t>
  </si>
  <si>
    <t xml:space="preserve">Entities and relationships</t>
  </si>
  <si>
    <t xml:space="preserve">Pixels</t>
  </si>
  <si>
    <t xml:space="preserve">It links entities by relationships.</t>
  </si>
  <si>
    <t xml:space="preserve">AI088</t>
  </si>
  <si>
    <t xml:space="preserve">Reinforcement learning learns from</t>
  </si>
  <si>
    <t xml:space="preserve">Embeddings only</t>
  </si>
  <si>
    <t xml:space="preserve">Rewards from interacting with an environment</t>
  </si>
  <si>
    <t xml:space="preserve">Static text</t>
  </si>
  <si>
    <t xml:space="preserve">Labeled pairs</t>
  </si>
  <si>
    <t xml:space="preserve">RL optimizes actions by reward.</t>
  </si>
  <si>
    <t xml:space="preserve">AI089</t>
  </si>
  <si>
    <t xml:space="preserve">Bias in an AI model often originates from</t>
  </si>
  <si>
    <t xml:space="preserve">Skewed or unrepresentative training data</t>
  </si>
  <si>
    <t xml:space="preserve">The GPU brand</t>
  </si>
  <si>
    <t xml:space="preserve">The programming language</t>
  </si>
  <si>
    <t xml:space="preserve">The screen</t>
  </si>
  <si>
    <t xml:space="preserve">Biased data produces biased models.</t>
  </si>
  <si>
    <t xml:space="preserve">AI090</t>
  </si>
  <si>
    <t xml:space="preserve">Which is a generative AI use case</t>
  </si>
  <si>
    <t xml:space="preserve">Indexing a database</t>
  </si>
  <si>
    <t xml:space="preserve">Drafting an email from a prompt</t>
  </si>
  <si>
    <t xml:space="preserve">Pinging a server</t>
  </si>
  <si>
    <t xml:space="preserve">Sorting a list</t>
  </si>
  <si>
    <t xml:space="preserve">Generating new text is generative AI.</t>
  </si>
  <si>
    <t xml:space="preserve">ML001</t>
  </si>
  <si>
    <t xml:space="preserve">ML</t>
  </si>
  <si>
    <t xml:space="preserve">ML stands for</t>
  </si>
  <si>
    <t xml:space="preserve">Model Layer</t>
  </si>
  <si>
    <t xml:space="preserve">Multi Language</t>
  </si>
  <si>
    <t xml:space="preserve">Machine Learning</t>
  </si>
  <si>
    <t xml:space="preserve">Meta Logic</t>
  </si>
  <si>
    <t xml:space="preserve">ML means Machine Learning.</t>
  </si>
  <si>
    <t xml:space="preserve">ML002</t>
  </si>
  <si>
    <t xml:space="preserve">Splitting data into train, validation and test</t>
  </si>
  <si>
    <t xml:space="preserve">Speeds training</t>
  </si>
  <si>
    <t xml:space="preserve">Encrypts data</t>
  </si>
  <si>
    <t xml:space="preserve">Gives honest evaluation and limits overfitting</t>
  </si>
  <si>
    <t xml:space="preserve">Tokenizes data</t>
  </si>
  <si>
    <t xml:space="preserve">Held out data measures generalization.</t>
  </si>
  <si>
    <t xml:space="preserve">ML003</t>
  </si>
  <si>
    <t xml:space="preserve">Overfitting is reduced by</t>
  </si>
  <si>
    <t xml:space="preserve">Regularization, more data or dropout</t>
  </si>
  <si>
    <t xml:space="preserve">A bigger vocabulary</t>
  </si>
  <si>
    <t xml:space="preserve">A higher learning rate only</t>
  </si>
  <si>
    <t xml:space="preserve">Removing all data</t>
  </si>
  <si>
    <t xml:space="preserve">These techniques curb overfitting.</t>
  </si>
  <si>
    <t xml:space="preserve">ML004</t>
  </si>
  <si>
    <t xml:space="preserve">A metric that suits imbalanced classification better than accuracy is</t>
  </si>
  <si>
    <t xml:space="preserve">Mean</t>
  </si>
  <si>
    <t xml:space="preserve">Sum</t>
  </si>
  <si>
    <t xml:space="preserve">F1 balances precision and recall.</t>
  </si>
  <si>
    <t xml:space="preserve">ML005</t>
  </si>
  <si>
    <t xml:space="preserve">Gradient descent optimizes by</t>
  </si>
  <si>
    <t xml:space="preserve">Sorting data</t>
  </si>
  <si>
    <t xml:space="preserve">Random guessing</t>
  </si>
  <si>
    <t xml:space="preserve">Iteratively moving weights to reduce loss</t>
  </si>
  <si>
    <t xml:space="preserve">Caching</t>
  </si>
  <si>
    <t xml:space="preserve">It steps weights down the loss gradient.</t>
  </si>
  <si>
    <t xml:space="preserve">ML006</t>
  </si>
  <si>
    <t xml:space="preserve">An example of unsupervised learning is</t>
  </si>
  <si>
    <t xml:space="preserve">Linear regression with labels</t>
  </si>
  <si>
    <t xml:space="preserve">Labeled classification</t>
  </si>
  <si>
    <t xml:space="preserve">K-means clustering</t>
  </si>
  <si>
    <t xml:space="preserve">K-means clusters unlabeled data.</t>
  </si>
  <si>
    <t xml:space="preserve">ML007</t>
  </si>
  <si>
    <t xml:space="preserve">High variance and low bias indicates</t>
  </si>
  <si>
    <t xml:space="preserve">Overfitting</t>
  </si>
  <si>
    <t xml:space="preserve">A perfect model</t>
  </si>
  <si>
    <t xml:space="preserve">Underfitting</t>
  </si>
  <si>
    <t xml:space="preserve">No training</t>
  </si>
  <si>
    <t xml:space="preserve">High variance points to overfitting.</t>
  </si>
  <si>
    <t xml:space="preserve">ML008</t>
  </si>
  <si>
    <t xml:space="preserve">Cross-validation is used to</t>
  </si>
  <si>
    <t xml:space="preserve">Tokenize</t>
  </si>
  <si>
    <t xml:space="preserve">Estimate performance more reliably</t>
  </si>
  <si>
    <t xml:space="preserve">It averages performance across folds.</t>
  </si>
  <si>
    <t xml:space="preserve">ML009</t>
  </si>
  <si>
    <t xml:space="preserve">A confusion matrix shows</t>
  </si>
  <si>
    <t xml:space="preserve">Token counts</t>
  </si>
  <si>
    <t xml:space="preserve">GPU load</t>
  </si>
  <si>
    <t xml:space="preserve">True and false positives and negatives</t>
  </si>
  <si>
    <t xml:space="preserve">It tabulates classification outcomes.</t>
  </si>
  <si>
    <t xml:space="preserve">ML010</t>
  </si>
  <si>
    <t xml:space="preserve">Feature engineering is</t>
  </si>
  <si>
    <t xml:space="preserve">Writing prompts</t>
  </si>
  <si>
    <t xml:space="preserve">Building GPUs</t>
  </si>
  <si>
    <t xml:space="preserve">Creating useful inputs from raw data</t>
  </si>
  <si>
    <t xml:space="preserve">Indexing vectors</t>
  </si>
  <si>
    <t xml:space="preserve">It crafts predictive input features.</t>
  </si>
  <si>
    <t xml:space="preserve">ML011</t>
  </si>
  <si>
    <t xml:space="preserve">Precision is defined as</t>
  </si>
  <si>
    <t xml:space="preserve">TP / (TP + FN)</t>
  </si>
  <si>
    <t xml:space="preserve">TP / (TP + FP)</t>
  </si>
  <si>
    <t xml:space="preserve">FP / FN</t>
  </si>
  <si>
    <t xml:space="preserve">(TP + TN) / all</t>
  </si>
  <si>
    <t xml:space="preserve">Precision is true positives over predicted positives.</t>
  </si>
  <si>
    <t xml:space="preserve">ML012</t>
  </si>
  <si>
    <t xml:space="preserve">Recall is defined as</t>
  </si>
  <si>
    <t xml:space="preserve">TN / all</t>
  </si>
  <si>
    <t xml:space="preserve">FP / TP</t>
  </si>
  <si>
    <t xml:space="preserve">Recall is true positives over actual positives.</t>
  </si>
  <si>
    <t xml:space="preserve">ML013</t>
  </si>
  <si>
    <t xml:space="preserve">Scaling or normalizing features helps because</t>
  </si>
  <si>
    <t xml:space="preserve">Many algorithms converge better with comparable scales</t>
  </si>
  <si>
    <t xml:space="preserve">It encrypts data</t>
  </si>
  <si>
    <t xml:space="preserve">It adds labels</t>
  </si>
  <si>
    <t xml:space="preserve">It chunks text</t>
  </si>
  <si>
    <t xml:space="preserve">Comparable scales aid convergence.</t>
  </si>
  <si>
    <t xml:space="preserve">ML014</t>
  </si>
  <si>
    <t xml:space="preserve">An example of a hyperparameter is</t>
  </si>
  <si>
    <t xml:space="preserve">A token</t>
  </si>
  <si>
    <t xml:space="preserve">A prediction</t>
  </si>
  <si>
    <t xml:space="preserve">The learning rate set before training</t>
  </si>
  <si>
    <t xml:space="preserve">A learned weight</t>
  </si>
  <si>
    <t xml:space="preserve">Hyperparameters are set before training.</t>
  </si>
  <si>
    <t xml:space="preserve">ML015</t>
  </si>
  <si>
    <t xml:space="preserve">Regression predicts</t>
  </si>
  <si>
    <t xml:space="preserve">A category label only</t>
  </si>
  <si>
    <t xml:space="preserve">A continuous numeric value</t>
  </si>
  <si>
    <t xml:space="preserve">Regression outputs continuous values.</t>
  </si>
  <si>
    <t xml:space="preserve">SD001</t>
  </si>
  <si>
    <t xml:space="preserve">Software development</t>
  </si>
  <si>
    <t xml:space="preserve">Output of print(2 ** 3)</t>
  </si>
  <si>
    <t xml:space="preserve">5</t>
  </si>
  <si>
    <t xml:space="preserve">8</t>
  </si>
  <si>
    <t xml:space="preserve">6</t>
  </si>
  <si>
    <t xml:space="preserve">9</t>
  </si>
  <si>
    <t xml:space="preserve">Two to the power three is eight.</t>
  </si>
  <si>
    <t xml:space="preserve">SD002</t>
  </si>
  <si>
    <t xml:space="preserve">Output of print(len('hello'))</t>
  </si>
  <si>
    <t xml:space="preserve">error</t>
  </si>
  <si>
    <t xml:space="preserve">4</t>
  </si>
  <si>
    <t xml:space="preserve">The string has five characters.</t>
  </si>
  <si>
    <t xml:space="preserve">SD003</t>
  </si>
  <si>
    <t xml:space="preserve">Output of print(list(range(1, 5)))</t>
  </si>
  <si>
    <t xml:space="preserve">[1, 5]</t>
  </si>
  <si>
    <t xml:space="preserve">[1, 2, 3, 4]</t>
  </si>
  <si>
    <t xml:space="preserve">[1, 2, 3, 4, 5]</t>
  </si>
  <si>
    <t xml:space="preserve">[0, 1, 2, 3, 4]</t>
  </si>
  <si>
    <t xml:space="preserve">range(1,5) stops before 5.</t>
  </si>
  <si>
    <t xml:space="preserve">SD004</t>
  </si>
  <si>
    <t xml:space="preserve">Output of print(3 // 2)</t>
  </si>
  <si>
    <t xml:space="preserve">1</t>
  </si>
  <si>
    <t xml:space="preserve">2</t>
  </si>
  <si>
    <t xml:space="preserve">1.5</t>
  </si>
  <si>
    <t xml:space="preserve">Floor division returns one.</t>
  </si>
  <si>
    <t xml:space="preserve">SD005</t>
  </si>
  <si>
    <t xml:space="preserve">Output of x = [1, 2, 3]; x.append([4, 5]); print(len(x))</t>
  </si>
  <si>
    <t xml:space="preserve">3</t>
  </si>
  <si>
    <t xml:space="preserve">Append adds one element, a list, so length is four.</t>
  </si>
  <si>
    <t xml:space="preserve">SD006</t>
  </si>
  <si>
    <t xml:space="preserve">Output of print(bool(0) or bool('a'))</t>
  </si>
  <si>
    <t xml:space="preserve">True</t>
  </si>
  <si>
    <t xml:space="preserve">None</t>
  </si>
  <si>
    <t xml:space="preserve">False</t>
  </si>
  <si>
    <t xml:space="preserve">Empty zero is False but a non-empty string is True.</t>
  </si>
  <si>
    <t xml:space="preserve">SD007</t>
  </si>
  <si>
    <t xml:space="preserve">Output of print({1, 2, 2, 3})</t>
  </si>
  <si>
    <t xml:space="preserve">{1, 2, 2, 3}</t>
  </si>
  <si>
    <t xml:space="preserve">{1, 2, 3}</t>
  </si>
  <si>
    <t xml:space="preserve">[1, 2, 3]</t>
  </si>
  <si>
    <t xml:space="preserve">A set removes duplicate values.</t>
  </si>
  <si>
    <t xml:space="preserve">SD008</t>
  </si>
  <si>
    <t xml:space="preserve">Given def f(a, lst=[]): lst.append(a); return lst, output of print(f(1)) then print(f(2))</t>
  </si>
  <si>
    <t xml:space="preserve">[1] then [1, 2]</t>
  </si>
  <si>
    <t xml:space="preserve">[1, 2] then [1, 2]</t>
  </si>
  <si>
    <t xml:space="preserve">[1] then [2]</t>
  </si>
  <si>
    <t xml:space="preserve">The mutable default list persists across calls.</t>
  </si>
  <si>
    <t xml:space="preserve">SD009</t>
  </si>
  <si>
    <t xml:space="preserve">Output of console.log(typeof "hi")</t>
  </si>
  <si>
    <t xml:space="preserve">string</t>
  </si>
  <si>
    <t xml:space="preserve">String</t>
  </si>
  <si>
    <t xml:space="preserve">char</t>
  </si>
  <si>
    <t xml:space="preserve">text</t>
  </si>
  <si>
    <t xml:space="preserve">typeof a string returns the lowercase word string.</t>
  </si>
  <si>
    <t xml:space="preserve">SD010</t>
  </si>
  <si>
    <t xml:space="preserve">Output of console.log(1 + "2")</t>
  </si>
  <si>
    <t xml:space="preserve">12</t>
  </si>
  <si>
    <t xml:space="preserve">"12"</t>
  </si>
  <si>
    <t xml:space="preserve">Number plus string concatenates to 12 as a string.</t>
  </si>
  <si>
    <t xml:space="preserve">SD011</t>
  </si>
  <si>
    <t xml:space="preserve">Output of console.log(2 + 2 + "2")</t>
  </si>
  <si>
    <t xml:space="preserve">"42"</t>
  </si>
  <si>
    <t xml:space="preserve">"222"</t>
  </si>
  <si>
    <t xml:space="preserve">"22"</t>
  </si>
  <si>
    <t xml:space="preserve">2 plus 2 is 4, then 4 plus string 2 is 42.</t>
  </si>
  <si>
    <t xml:space="preserve">SD012</t>
  </si>
  <si>
    <t xml:space="preserve">Output of console.log(0 == "0")</t>
  </si>
  <si>
    <t xml:space="preserve">undefined</t>
  </si>
  <si>
    <t xml:space="preserve">true</t>
  </si>
  <si>
    <t xml:space="preserve">false</t>
  </si>
  <si>
    <t xml:space="preserve">Loose equality coerces the string, so it is true.</t>
  </si>
  <si>
    <t xml:space="preserve">SD013</t>
  </si>
  <si>
    <t xml:space="preserve">Output of console.log(0 === "0")</t>
  </si>
  <si>
    <t xml:space="preserve">NaN</t>
  </si>
  <si>
    <t xml:space="preserve">Strict equality compares types, number and string differ.</t>
  </si>
  <si>
    <t xml:space="preserve">SD014</t>
  </si>
  <si>
    <t xml:space="preserve">Which correctly declares a constant in modern JavaScript</t>
  </si>
  <si>
    <t xml:space="preserve">constant x = 1</t>
  </si>
  <si>
    <t xml:space="preserve">var const x = 1</t>
  </si>
  <si>
    <t xml:space="preserve">let x = 1</t>
  </si>
  <si>
    <t xml:space="preserve">const x = 1</t>
  </si>
  <si>
    <t xml:space="preserve">const declares a constant binding.</t>
  </si>
  <si>
    <t xml:space="preserve">SD015</t>
  </si>
  <si>
    <t xml:space="preserve">Output of console.log([1, 2, 3].map(x =&gt; x * 2))</t>
  </si>
  <si>
    <t xml:space="preserve">[1, 4, 9]</t>
  </si>
  <si>
    <t xml:space="preserve">[2, 4, 6]</t>
  </si>
  <si>
    <t xml:space="preserve">map doubles each element.</t>
  </si>
  <si>
    <t xml:space="preserve">AP001</t>
  </si>
  <si>
    <t xml:space="preserve">Aptitude</t>
  </si>
  <si>
    <t xml:space="preserve">Next in the series 2, 4, 6, 8, ?</t>
  </si>
  <si>
    <t xml:space="preserve">10</t>
  </si>
  <si>
    <t xml:space="preserve">11</t>
  </si>
  <si>
    <t xml:space="preserve">Add two each time.</t>
  </si>
  <si>
    <t xml:space="preserve">AP002</t>
  </si>
  <si>
    <t xml:space="preserve">Next in the series 1, 3, 5, 7, ?</t>
  </si>
  <si>
    <t xml:space="preserve">Odd numbers increase by two.</t>
  </si>
  <si>
    <t xml:space="preserve">AP003</t>
  </si>
  <si>
    <t xml:space="preserve">Next in the series 2, 4, 8, 16, ?</t>
  </si>
  <si>
    <t xml:space="preserve">20</t>
  </si>
  <si>
    <t xml:space="preserve">24</t>
  </si>
  <si>
    <t xml:space="preserve">32</t>
  </si>
  <si>
    <t xml:space="preserve">30</t>
  </si>
  <si>
    <t xml:space="preserve">Each term doubles.</t>
  </si>
  <si>
    <t xml:space="preserve">AP004</t>
  </si>
  <si>
    <t xml:space="preserve">Next in the series 1, 4, 9, 16, ?</t>
  </si>
  <si>
    <t xml:space="preserve">25</t>
  </si>
  <si>
    <t xml:space="preserve">36</t>
  </si>
  <si>
    <t xml:space="preserve">These are square numbers, next is five squared.</t>
  </si>
  <si>
    <t xml:space="preserve">AP005</t>
  </si>
  <si>
    <t xml:space="preserve">Next in the series 3, 6, 12, 24, ?</t>
  </si>
  <si>
    <t xml:space="preserve">48</t>
  </si>
  <si>
    <t xml:space="preserve">40</t>
  </si>
  <si>
    <t xml:space="preserve">AP006</t>
  </si>
  <si>
    <t xml:space="preserve">Find the odd one out: 2, 3, 5, 9, 11</t>
  </si>
  <si>
    <t xml:space="preserve">Nine is not a prime number.</t>
  </si>
  <si>
    <t xml:space="preserve">AP007</t>
  </si>
  <si>
    <t xml:space="preserve">If all roses are flowers and some flowers fade quickly, can we conclude all roses fade quickly</t>
  </si>
  <si>
    <t xml:space="preserve">Cannot say</t>
  </si>
  <si>
    <t xml:space="preserve">No</t>
  </si>
  <si>
    <t xml:space="preserve">Sometimes</t>
  </si>
  <si>
    <t xml:space="preserve">Yes</t>
  </si>
  <si>
    <t xml:space="preserve">The premises do not support that conclusion.</t>
  </si>
  <si>
    <t xml:space="preserve">AP008</t>
  </si>
  <si>
    <t xml:space="preserve">A is taller than B and B is taller than C. Who is shortest</t>
  </si>
  <si>
    <t xml:space="preserve">C is shorter than B who is shorter than A.</t>
  </si>
  <si>
    <t xml:space="preserve">AP009</t>
  </si>
  <si>
    <t xml:space="preserve">Two days after Monday is</t>
  </si>
  <si>
    <t xml:space="preserve">Tuesday</t>
  </si>
  <si>
    <t xml:space="preserve">Thursday</t>
  </si>
  <si>
    <t xml:space="preserve">Friday</t>
  </si>
  <si>
    <t xml:space="preserve">Wednesday</t>
  </si>
  <si>
    <t xml:space="preserve">Monday plus two days is Wednesday.</t>
  </si>
  <si>
    <t xml:space="preserve">AP010</t>
  </si>
  <si>
    <t xml:space="preserve">15 is what percent of 60</t>
  </si>
  <si>
    <t xml:space="preserve">40%</t>
  </si>
  <si>
    <t xml:space="preserve">20%</t>
  </si>
  <si>
    <t xml:space="preserve">25%</t>
  </si>
  <si>
    <t xml:space="preserve">30%</t>
  </si>
  <si>
    <t xml:space="preserve">15 over 60 is one quarter, 25 percent.</t>
  </si>
  <si>
    <t xml:space="preserve">AP011</t>
  </si>
  <si>
    <t xml:space="preserve">A train covers 60 km in 45 minutes. Its speed in km per hour is</t>
  </si>
  <si>
    <t xml:space="preserve">80</t>
  </si>
  <si>
    <t xml:space="preserve">90</t>
  </si>
  <si>
    <t xml:space="preserve">60</t>
  </si>
  <si>
    <t xml:space="preserve">75</t>
  </si>
  <si>
    <t xml:space="preserve">60 divided by 0.75 hours is 80.</t>
  </si>
  <si>
    <t xml:space="preserve">AP012</t>
  </si>
  <si>
    <t xml:space="preserve">What is one quarter of 200</t>
  </si>
  <si>
    <t xml:space="preserve">100</t>
  </si>
  <si>
    <t xml:space="preserve">50</t>
  </si>
  <si>
    <t xml:space="preserve">Two hundred divided by four is fifty.</t>
  </si>
  <si>
    <t xml:space="preserve">AP013</t>
  </si>
  <si>
    <t xml:space="preserve">If 3 pens cost 12, what do 5 pens cost</t>
  </si>
  <si>
    <t xml:space="preserve">16</t>
  </si>
  <si>
    <t xml:space="preserve">18</t>
  </si>
  <si>
    <t xml:space="preserve">Each pen is four, so five cost twenty.</t>
  </si>
  <si>
    <t xml:space="preserve">AP014</t>
  </si>
  <si>
    <t xml:space="preserve">Next in the series 1, 1, 2, 3, 5, 8, ?</t>
  </si>
  <si>
    <t xml:space="preserve">13</t>
  </si>
  <si>
    <t xml:space="preserve">14</t>
  </si>
  <si>
    <t xml:space="preserve">Fibonacci, five plus eight is thirteen.</t>
  </si>
  <si>
    <t xml:space="preserve">AP015</t>
  </si>
  <si>
    <t xml:space="preserve">Complete the pattern AB, CD, EF, ?</t>
  </si>
  <si>
    <t xml:space="preserve">GI</t>
  </si>
  <si>
    <t xml:space="preserve">GH</t>
  </si>
  <si>
    <t xml:space="preserve">HI</t>
  </si>
  <si>
    <t xml:space="preserve">FG</t>
  </si>
  <si>
    <t xml:space="preserve">The next letter pair is GH.</t>
  </si>
  <si>
    <t xml:space="preserve">AP016</t>
  </si>
  <si>
    <t xml:space="preserve">Complete the pattern Z, X, V, T, ?</t>
  </si>
  <si>
    <t xml:space="preserve">S</t>
  </si>
  <si>
    <t xml:space="preserve">U</t>
  </si>
  <si>
    <t xml:space="preserve">Q</t>
  </si>
  <si>
    <t xml:space="preserve">R</t>
  </si>
  <si>
    <t xml:space="preserve">Skip one letter back each time, giving R.</t>
  </si>
  <si>
    <t xml:space="preserve">AP017</t>
  </si>
  <si>
    <t xml:space="preserve">If today is Wednesday, what day is three days later</t>
  </si>
  <si>
    <t xml:space="preserve">Sunday</t>
  </si>
  <si>
    <t xml:space="preserve">Saturday</t>
  </si>
  <si>
    <t xml:space="preserve">Wednesday plus three days is Saturday.</t>
  </si>
  <si>
    <t xml:space="preserve">AP018</t>
  </si>
  <si>
    <t xml:space="preserve">The angle between the hands of a clock at 3:00 is</t>
  </si>
  <si>
    <t xml:space="preserve">120</t>
  </si>
  <si>
    <t xml:space="preserve">45</t>
  </si>
  <si>
    <t xml:space="preserve">At three o clock the hands are ninety degrees apart.</t>
  </si>
  <si>
    <t xml:space="preserve">AP019</t>
  </si>
  <si>
    <t xml:space="preserve">The mean of 4, 8, 6 and 2 is</t>
  </si>
  <si>
    <t xml:space="preserve">The sum is twenty, divided by four is five.</t>
  </si>
  <si>
    <t xml:space="preserve">AP020</t>
  </si>
  <si>
    <t xml:space="preserve">Which number is largest</t>
  </si>
  <si>
    <t xml:space="preserve">0.77</t>
  </si>
  <si>
    <t xml:space="preserve">0.707</t>
  </si>
  <si>
    <t xml:space="preserve">0.7</t>
  </si>
  <si>
    <t xml:space="preserve">0.07</t>
  </si>
  <si>
    <t xml:space="preserve">0.77 is the largest value.</t>
  </si>
  <si>
    <t xml:space="preserve">AP021</t>
  </si>
  <si>
    <t xml:space="preserve">If x plus 5 equals 12, then x equals</t>
  </si>
  <si>
    <t xml:space="preserve">7</t>
  </si>
  <si>
    <t xml:space="preserve">Twelve minus five is seven.</t>
  </si>
  <si>
    <t xml:space="preserve">AP022</t>
  </si>
  <si>
    <t xml:space="preserve">In the ratio 2 to 3, if the first value is 10 the second is</t>
  </si>
  <si>
    <t xml:space="preserve">15</t>
  </si>
  <si>
    <t xml:space="preserve">Scale factor five gives fifteen.</t>
  </si>
  <si>
    <t xml:space="preserve">AP023</t>
  </si>
  <si>
    <t xml:space="preserve">A is the son of B. B is the sister of C. C is A's</t>
  </si>
  <si>
    <t xml:space="preserve">Father</t>
  </si>
  <si>
    <t xml:space="preserve">Son</t>
  </si>
  <si>
    <t xml:space="preserve">Cousin</t>
  </si>
  <si>
    <t xml:space="preserve">Aunt or uncle</t>
  </si>
  <si>
    <t xml:space="preserve">C is a sibling of B, so C is the aunt or uncle of A.</t>
  </si>
  <si>
    <t xml:space="preserve">AP024</t>
  </si>
  <si>
    <t xml:space="preserve">Next in the series 100, 81, 64, 49, ?</t>
  </si>
  <si>
    <t xml:space="preserve">These are squares of 10, 9, 8, 7, next is six squared.</t>
  </si>
  <si>
    <t xml:space="preserve">AP025</t>
  </si>
  <si>
    <t xml:space="preserve">The probability of heads on a fair coin is</t>
  </si>
  <si>
    <t xml:space="preserve">0</t>
  </si>
  <si>
    <t xml:space="preserve">0.25</t>
  </si>
  <si>
    <t xml:space="preserve">0.5</t>
  </si>
  <si>
    <t xml:space="preserve">A fair coin has one half chance of heads.</t>
  </si>
  <si>
    <t xml:space="preserve">AP026</t>
  </si>
  <si>
    <t xml:space="preserve">A box has 3 red and 2 blue balls. The probability of drawing red is</t>
  </si>
  <si>
    <t xml:space="preserve">2/5</t>
  </si>
  <si>
    <t xml:space="preserve">3/5</t>
  </si>
  <si>
    <t xml:space="preserve">1/2</t>
  </si>
  <si>
    <t xml:space="preserve">1/5</t>
  </si>
  <si>
    <t xml:space="preserve">Three red out of five total is three fifths.</t>
  </si>
  <si>
    <t xml:space="preserve">AP027</t>
  </si>
  <si>
    <t xml:space="preserve">If 5 workers build a wall in 10 days, 10 workers at the same rate take</t>
  </si>
  <si>
    <t xml:space="preserve">20 days</t>
  </si>
  <si>
    <t xml:space="preserve">2 days</t>
  </si>
  <si>
    <t xml:space="preserve">5 days</t>
  </si>
  <si>
    <t xml:space="preserve">10 days</t>
  </si>
  <si>
    <t xml:space="preserve">Double the workers, half the time, five days.</t>
  </si>
  <si>
    <t xml:space="preserve">AP028</t>
  </si>
  <si>
    <t xml:space="preserve">Find the odd one out: Dog, Cat, Lion, Rose</t>
  </si>
  <si>
    <t xml:space="preserve">Dog</t>
  </si>
  <si>
    <t xml:space="preserve">Cat</t>
  </si>
  <si>
    <t xml:space="preserve">Rose</t>
  </si>
  <si>
    <t xml:space="preserve">Lion</t>
  </si>
  <si>
    <t xml:space="preserve">Rose is not an animal.</t>
  </si>
  <si>
    <t xml:space="preserve">AP029</t>
  </si>
  <si>
    <t xml:space="preserve">Next in the series 2, 6, 12, 20, 30, ?</t>
  </si>
  <si>
    <t xml:space="preserve">44</t>
  </si>
  <si>
    <t xml:space="preserve">42</t>
  </si>
  <si>
    <t xml:space="preserve">Differences grow by two, next difference is twelve, giving forty two.</t>
  </si>
  <si>
    <t xml:space="preserve">AP030</t>
  </si>
  <si>
    <t xml:space="preserve">If a word is coded by its number of letters, FISH is coded as</t>
  </si>
  <si>
    <t xml:space="preserve">FISH has four letters.</t>
  </si>
  <si>
    <t xml:space="preserve">MC-AI01</t>
  </si>
  <si>
    <t xml:space="preserve">E</t>
  </si>
  <si>
    <t xml:space="preserve">multi</t>
  </si>
  <si>
    <t xml:space="preserve">Select the THREE that are LLM decoding or sampling parameters</t>
  </si>
  <si>
    <t xml:space="preserve">Top-k</t>
  </si>
  <si>
    <t xml:space="preserve">Top-p (nucleus)</t>
  </si>
  <si>
    <t xml:space="preserve">C, D, F</t>
  </si>
  <si>
    <t xml:space="preserve">partial: correct picks / 3</t>
  </si>
  <si>
    <t xml:space="preserve">Temperature, top-p and top-k control sampling. The rest are training settings.</t>
  </si>
  <si>
    <t xml:space="preserve">MC-AI02</t>
  </si>
  <si>
    <t xml:space="preserve">Select the THREE that are components of a typical RAG pipeline</t>
  </si>
  <si>
    <t xml:space="preserve">Generative adversarial network</t>
  </si>
  <si>
    <t xml:space="preserve">Embedding model</t>
  </si>
  <si>
    <t xml:space="preserve">Backpropagation</t>
  </si>
  <si>
    <t xml:space="preserve">Convolution layer</t>
  </si>
  <si>
    <t xml:space="preserve">Retriever or re-ranker</t>
  </si>
  <si>
    <t xml:space="preserve">Vector database</t>
  </si>
  <si>
    <t xml:space="preserve">B, E, F</t>
  </si>
  <si>
    <t xml:space="preserve">RAG retrieves with an embedding model, a vector store and a retriever.</t>
  </si>
  <si>
    <t xml:space="preserve">MC-AI03</t>
  </si>
  <si>
    <t xml:space="preserve">Select the THREE practices that reduce hallucination</t>
  </si>
  <si>
    <t xml:space="preserve">Setting top-p to 1</t>
  </si>
  <si>
    <t xml:space="preserve">Grounding answers with retrieved context</t>
  </si>
  <si>
    <t xml:space="preserve">Increasing max output length</t>
  </si>
  <si>
    <t xml:space="preserve">Citing retrieved sources</t>
  </si>
  <si>
    <t xml:space="preserve">B, C, F</t>
  </si>
  <si>
    <t xml:space="preserve">Grounding, citing and lower temperature reduce fabrication.</t>
  </si>
  <si>
    <t xml:space="preserve">MC-AI04</t>
  </si>
  <si>
    <t xml:space="preserve">Select the THREE parameter-efficient fine-tuning or adaptation methods</t>
  </si>
  <si>
    <t xml:space="preserve">Pre-training from scratch</t>
  </si>
  <si>
    <t xml:space="preserve">LoRA</t>
  </si>
  <si>
    <t xml:space="preserve">Adapters</t>
  </si>
  <si>
    <t xml:space="preserve">Random forest</t>
  </si>
  <si>
    <t xml:space="preserve">Prefix tuning</t>
  </si>
  <si>
    <t xml:space="preserve">LoRA, prefix tuning and adapters are PEFT methods.</t>
  </si>
  <si>
    <t xml:space="preserve">MC-AI05</t>
  </si>
  <si>
    <t xml:space="preserve">Select the THREE valid ways to evaluate LLM output</t>
  </si>
  <si>
    <t xml:space="preserve">Disk throughput</t>
  </si>
  <si>
    <t xml:space="preserve">Screen resolution</t>
  </si>
  <si>
    <t xml:space="preserve">LLM as a judge</t>
  </si>
  <si>
    <t xml:space="preserve">Human rating</t>
  </si>
  <si>
    <t xml:space="preserve">Reference metrics such as BLEU or ROUGE</t>
  </si>
  <si>
    <t xml:space="preserve">D, E, F</t>
  </si>
  <si>
    <t xml:space="preserve">Human, model-judge and reference metrics all assess output.</t>
  </si>
  <si>
    <t xml:space="preserve">MC-AI06</t>
  </si>
  <si>
    <t xml:space="preserve">Select the THREE genuine risks of tool-using AI agents</t>
  </si>
  <si>
    <t xml:space="preserve">Lower latency</t>
  </si>
  <si>
    <t xml:space="preserve">Unintended tool actions</t>
  </si>
  <si>
    <t xml:space="preserve">Better spelling</t>
  </si>
  <si>
    <t xml:space="preserve">Prompt injection</t>
  </si>
  <si>
    <t xml:space="preserve">Data exfiltration</t>
  </si>
  <si>
    <t xml:space="preserve">Smaller context window</t>
  </si>
  <si>
    <t xml:space="preserve">B, D, E</t>
  </si>
  <si>
    <t xml:space="preserve">Agents that act can be injected, misfire or leak data.</t>
  </si>
  <si>
    <t xml:space="preserve">MC-AI07</t>
  </si>
  <si>
    <t xml:space="preserve">Select the THREE true statements about transformer self-attention</t>
  </si>
  <si>
    <t xml:space="preserve">Requires recurrence</t>
  </si>
  <si>
    <t xml:space="preserve">Processes only one token at a time</t>
  </si>
  <si>
    <t xml:space="preserve">Models relationships between tokens</t>
  </si>
  <si>
    <t xml:space="preserve">Removes the need for positional information</t>
  </si>
  <si>
    <t xml:space="preserve">Scales quadratically with sequence length</t>
  </si>
  <si>
    <t xml:space="preserve">Uses query, key and value projections</t>
  </si>
  <si>
    <t xml:space="preserve">C, E, F</t>
  </si>
  <si>
    <t xml:space="preserve">Self-attention uses QKV, links tokens and is quadratic in length.</t>
  </si>
  <si>
    <t xml:space="preserve">MC-AI08</t>
  </si>
  <si>
    <t xml:space="preserve">Select the THREE that are vector search tools or databases</t>
  </si>
  <si>
    <t xml:space="preserve">FAISS</t>
  </si>
  <si>
    <t xml:space="preserve">Nginx</t>
  </si>
  <si>
    <t xml:space="preserve">Jenkins</t>
  </si>
  <si>
    <t xml:space="preserve">Pinecone, Weaviate and FAISS do vector search.</t>
  </si>
  <si>
    <t xml:space="preserve">MC-AI09</t>
  </si>
  <si>
    <t xml:space="preserve">Select the THREE that are prompting techniques</t>
  </si>
  <si>
    <t xml:space="preserve">Chain-of-thought</t>
  </si>
  <si>
    <t xml:space="preserve">Zero-shot</t>
  </si>
  <si>
    <t xml:space="preserve">Gradient descent</t>
  </si>
  <si>
    <t xml:space="preserve">Few-shot</t>
  </si>
  <si>
    <t xml:space="preserve">A, B, F</t>
  </si>
  <si>
    <t xml:space="preserve">Zero-shot, few-shot and chain-of-thought are prompting methods.</t>
  </si>
  <si>
    <t xml:space="preserve">MC-ML01</t>
  </si>
  <si>
    <t xml:space="preserve">Select the THREE that reduce overfitting</t>
  </si>
  <si>
    <t xml:space="preserve">Increasing model capacity without limit</t>
  </si>
  <si>
    <t xml:space="preserve">Regularization</t>
  </si>
  <si>
    <t xml:space="preserve">Removing the validation set</t>
  </si>
  <si>
    <t xml:space="preserve">Training until training loss is zero</t>
  </si>
  <si>
    <t xml:space="preserve">More training data</t>
  </si>
  <si>
    <t xml:space="preserve">B, D, F</t>
  </si>
  <si>
    <t xml:space="preserve">Regularization, dropout and more data curb overfitting.</t>
  </si>
  <si>
    <t xml:space="preserve">MC-ML02</t>
  </si>
  <si>
    <t xml:space="preserve">Select the THREE classification metrics</t>
  </si>
  <si>
    <t xml:space="preserve">Recall</t>
  </si>
  <si>
    <t xml:space="preserve">R squared</t>
  </si>
  <si>
    <t xml:space="preserve">Silhouette score</t>
  </si>
  <si>
    <t xml:space="preserve">Precision</t>
  </si>
  <si>
    <t xml:space="preserve">Precision, recall and F1 are classification metrics.</t>
  </si>
  <si>
    <t xml:space="preserve">MC-ML03</t>
  </si>
  <si>
    <t xml:space="preserve">Select the THREE unsupervised learning methods</t>
  </si>
  <si>
    <t xml:space="preserve">Principal component analysis</t>
  </si>
  <si>
    <t xml:space="preserve">Hierarchical clustering</t>
  </si>
  <si>
    <t xml:space="preserve">Linear regression</t>
  </si>
  <si>
    <t xml:space="preserve">K-means</t>
  </si>
  <si>
    <t xml:space="preserve">Logistic regression</t>
  </si>
  <si>
    <t xml:space="preserve">Supervised random forest</t>
  </si>
  <si>
    <t xml:space="preserve">A, B, D</t>
  </si>
  <si>
    <t xml:space="preserve">K-means, hierarchical clustering and PCA are unsupervised.</t>
  </si>
  <si>
    <t xml:space="preserve">MC-AP01</t>
  </si>
  <si>
    <t xml:space="preserve">Select the THREE prime numbers</t>
  </si>
  <si>
    <t xml:space="preserve">21</t>
  </si>
  <si>
    <t xml:space="preserve">A, B, E</t>
  </si>
  <si>
    <t xml:space="preserve">7, 11 and 13 are prime. 9, 15 and 21 are not.</t>
  </si>
  <si>
    <t xml:space="preserve">MC-AP02</t>
  </si>
  <si>
    <t xml:space="preserve">Select the THREE perfect squares</t>
  </si>
  <si>
    <t xml:space="preserve">49</t>
  </si>
  <si>
    <t xml:space="preserve">B, C, D</t>
  </si>
  <si>
    <t xml:space="preserve">16, 25 and 49 are perfect squares.</t>
  </si>
  <si>
    <t xml:space="preserve">MC-AP03</t>
  </si>
  <si>
    <t xml:space="preserve">Select the THREE numbers divisible by 3</t>
  </si>
  <si>
    <t xml:space="preserve">9, 12 and 21 divide by 3.</t>
  </si>
  <si>
    <t xml:space="preserve">IM-AI01</t>
  </si>
  <si>
    <t xml:space="preserve">F</t>
  </si>
  <si>
    <t xml:space="preserve">image</t>
  </si>
  <si>
    <t xml:space="preserve">In the pipeline shown, which stage grounds the answer in external knowledge</t>
  </si>
  <si>
    <t xml:space="preserve">Embed query</t>
  </si>
  <si>
    <t xml:space="preserve">LLM</t>
  </si>
  <si>
    <t xml:space="preserve">Vector DB retrieve top k</t>
  </si>
  <si>
    <t xml:space="preserve">Query</t>
  </si>
  <si>
    <t xml:space="preserve">Retrieval from the vector database supplies the external context.</t>
  </si>
  <si>
    <t xml:space="preserve">rag_pipeline.png</t>
  </si>
  <si>
    <t xml:space="preserve">IM-AI02</t>
  </si>
  <si>
    <t xml:space="preserve">Points A and B sit very close together in this embedding space. This most likely means they</t>
  </si>
  <si>
    <t xml:space="preserve">Are identical files</t>
  </si>
  <si>
    <t xml:space="preserve">Have similar meaning</t>
  </si>
  <si>
    <t xml:space="preserve">Belong to different clusters</t>
  </si>
  <si>
    <t xml:space="preserve">Are opposite in meaning</t>
  </si>
  <si>
    <t xml:space="preserve">Closeness in embedding space implies similar meaning.</t>
  </si>
  <si>
    <t xml:space="preserve">embedding_scatter.png</t>
  </si>
  <si>
    <t xml:space="preserve">IM-AI03</t>
  </si>
  <si>
    <t xml:space="preserve">In the transformer block shown, which component lets tokens attend to each other</t>
  </si>
  <si>
    <t xml:space="preserve">Multi head self attention</t>
  </si>
  <si>
    <t xml:space="preserve">Feed forward network</t>
  </si>
  <si>
    <t xml:space="preserve">Add and normalise</t>
  </si>
  <si>
    <t xml:space="preserve">Input plus positional encoding</t>
  </si>
  <si>
    <t xml:space="preserve">Self-attention computes token to token relationships.</t>
  </si>
  <si>
    <t xml:space="preserve">transformer_block.png</t>
  </si>
  <si>
    <t xml:space="preserve">IM-AI04</t>
  </si>
  <si>
    <t xml:space="preserve">Training loss keeps falling while validation loss starts rising. This pattern indicates</t>
  </si>
  <si>
    <t xml:space="preserve">A perfect fit</t>
  </si>
  <si>
    <t xml:space="preserve">Faster convergence</t>
  </si>
  <si>
    <t xml:space="preserve">Rising validation loss with falling training loss is overfitting.</t>
  </si>
  <si>
    <t xml:space="preserve">loss_curves.png</t>
  </si>
  <si>
    <t xml:space="preserve">IM-ML01</t>
  </si>
  <si>
    <t xml:space="preserve">Using the confusion matrix shown, precision, which is TP divided by TP plus FP, is</t>
  </si>
  <si>
    <t xml:space="preserve">0.50</t>
  </si>
  <si>
    <t xml:space="preserve">0.80</t>
  </si>
  <si>
    <t xml:space="preserve">0.67</t>
  </si>
  <si>
    <t xml:space="preserve">0.40</t>
  </si>
  <si>
    <t xml:space="preserve">TP is 40 and FP is 10, so 40 divided by 50 is 0.80.</t>
  </si>
  <si>
    <t xml:space="preserve">confusion_matrix.png</t>
  </si>
  <si>
    <t xml:space="preserve">IM-SD01</t>
  </si>
  <si>
    <t xml:space="preserve">What does the Python program shown print</t>
  </si>
  <si>
    <t xml:space="preserve">It sums 0 plus 1 plus 2 plus 3, which is 6.</t>
  </si>
  <si>
    <t xml:space="preserve">python_code.png</t>
  </si>
  <si>
    <t xml:space="preserve">IM-SD02</t>
  </si>
  <si>
    <t xml:space="preserve">What does the JavaScript shown log</t>
  </si>
  <si>
    <t xml:space="preserve">[2, 4]</t>
  </si>
  <si>
    <t xml:space="preserve">Filtering evens from 1 to 4 gives two values, so length is 2.</t>
  </si>
  <si>
    <t xml:space="preserve">js_code.png</t>
  </si>
  <si>
    <t xml:space="preserve">EX-01</t>
  </si>
  <si>
    <t xml:space="preserve">G</t>
  </si>
  <si>
    <t xml:space="preserve">Expert</t>
  </si>
  <si>
    <t xml:space="preserve">freetext</t>
  </si>
  <si>
    <t xml:space="preserve">A client's retrieval augmented chatbot answers confidently but is often wrong about their product catalogue. In at least 200 words, explain how you would diagnose the cause and redesign the pipeline to reduce wrong answers. Cover retrieval quality, chunking, evaluation and guardrails.</t>
  </si>
  <si>
    <t xml:space="preserve">human reviewed 1 to 5</t>
  </si>
  <si>
    <t xml:space="preserve">Diagnoses retrieval first, for example poor chunking, weak embeddings or missing documents | Proposes a labelled evaluation set and measurable retrieval and answer metrics | Improves chunking strategy and adds re-ranking or hybrid search | Adds grounding, citations and refusal behaviour when context is missing | Adds monitoring, logging and a feedback loop, and reasons about trade-offs | Top one percent answer shows failure analysis, metric choices and clear prioritisation</t>
  </si>
  <si>
    <t xml:space="preserve">EX-02</t>
  </si>
  <si>
    <t xml:space="preserve">You must choose between two models for production. Model A is more accurate but slower and more expensive. Model B is faster and cheaper but less accurate. In at least 200 words, reason through how you would decide, what evidence you would gather, and how the use case changes the answer.</t>
  </si>
  <si>
    <t xml:space="preserve">Frames the decision against the specific use case and its tolerance for error | Quantifies the trade-off across accuracy, latency and cost | Describes the evidence to gather, for example offline evaluation and a live test | Considers a hybrid or routing approach and a fallback path | Connects the choice to business impact and risk, not just raw accuracy | Top one percent answer shows structured reasoning and a clear, defensible recommendation</t>
  </si>
  <si>
    <t xml:space="preserve">EX-03</t>
  </si>
  <si>
    <t xml:space="preserve">An AI feature you shipped begins producing biased or unfair outputs for some user groups. In at least 200 words, walk through your reasoning to find the cause, contain the impact, and prevent recurrence.</t>
  </si>
  <si>
    <t xml:space="preserve">Identifies likely sources, for example skewed training or evaluation data | Takes immediate containment steps to limit harm | Sets up measurement of fairness across groups | Describes longer term fixes in data, evaluation and monitoring | Addresses communication, accountability and governance | Top one percent answer balances speed of containment with a durable systemic fix</t>
  </si>
  <si>
    <t xml:space="preserve">Question pool quality evaluation</t>
  </si>
  <si>
    <t xml:space="preserve">Measured against a highest-standard assessment bank. Stats pull live from the Question Bank sheet.</t>
  </si>
  <si>
    <t xml:space="preserve">Answer position balance (single and image items)</t>
  </si>
  <si>
    <t xml:space="preserve">Correct = A</t>
  </si>
  <si>
    <t xml:space="preserve">Correct = B</t>
  </si>
  <si>
    <t xml:space="preserve">Correct = C</t>
  </si>
  <si>
    <t xml:space="preserve">Correct = D</t>
  </si>
  <si>
    <t xml:space="preserve">Total four-option items</t>
  </si>
  <si>
    <t xml:space="preserve">Difficulty distribution</t>
  </si>
  <si>
    <t xml:space="preserve">Format counts</t>
  </si>
  <si>
    <t xml:space="preserve">Single</t>
  </si>
  <si>
    <t xml:space="preserve">Choose three</t>
  </si>
  <si>
    <t xml:space="preserve">Expert written</t>
  </si>
  <si>
    <t xml:space="preserve">Total</t>
  </si>
  <si>
    <t xml:space="preserve">Quality scorecard versus highest standard</t>
  </si>
  <si>
    <t xml:space="preserve">Criterion</t>
  </si>
  <si>
    <t xml:space="preserve">Score /5</t>
  </si>
  <si>
    <t xml:space="preserve">Weight</t>
  </si>
  <si>
    <t xml:space="preserve">Notes</t>
  </si>
  <si>
    <t xml:space="preserve">Single correct-answer integrity</t>
  </si>
  <si>
    <t xml:space="preserve">Single items have exactly one defensible answer.</t>
  </si>
  <si>
    <t xml:space="preserve">Distractor plausibility</t>
  </si>
  <si>
    <t xml:space="preserve">Distractors are believable; some easy items use obvious foils by design.</t>
  </si>
  <si>
    <t xml:space="preserve">Clarity and no ambiguity</t>
  </si>
  <si>
    <t xml:space="preserve">Concise wording; review a handful of borderline items before launch.</t>
  </si>
  <si>
    <t xml:space="preserve">Syllabus coverage</t>
  </si>
  <si>
    <t xml:space="preserve">GenAI and LLM heavy, with ML, dev and aptitude as specified.</t>
  </si>
  <si>
    <t xml:space="preserve">Difficulty balance</t>
  </si>
  <si>
    <t xml:space="preserve">Easy, medium and hard spread; could add more hard scenario items.</t>
  </si>
  <si>
    <t xml:space="preserve">Answer-position balance</t>
  </si>
  <si>
    <t xml:space="preserve">Correct answers spread across A to D after randomisation.</t>
  </si>
  <si>
    <t xml:space="preserve">Currency</t>
  </si>
  <si>
    <t xml:space="preserve">Reflects 2025 to 2026 GenAI practice.</t>
  </si>
  <si>
    <t xml:space="preserve">Format variety</t>
  </si>
  <si>
    <t xml:space="preserve">Single, choose three, image and expert written.</t>
  </si>
  <si>
    <t xml:space="preserve">Auto-gradability</t>
  </si>
  <si>
    <t xml:space="preserve">All but the expert tier auto-grade cleanly.</t>
  </si>
  <si>
    <t xml:space="preserve">Defensibility and auditability</t>
  </si>
  <si>
    <t xml:space="preserve">Needs a second-reviewer key audit and post-launch item analysis.</t>
  </si>
  <si>
    <t xml:space="preserve">Weighted score (out of 5)</t>
  </si>
  <si>
    <t xml:space="preserve">Where this meets the highest standard</t>
  </si>
  <si>
    <t xml:space="preserve">• Broad, current coverage with a clear GenAI and LLM focus.</t>
  </si>
  <si>
    <t xml:space="preserve">• Four formats including applied image reading and an expert written tier.</t>
  </si>
  <si>
    <t xml:space="preserve">• Randomised answer key, partial credit on multi-select, and a defined pass mark.</t>
  </si>
  <si>
    <t xml:space="preserve">• Every item carries a rationale, so the key is reviewable.</t>
  </si>
  <si>
    <t xml:space="preserve">What a top-standard bank still needs (post-launch)</t>
  </si>
  <si>
    <t xml:space="preserve">• Independent expert review of every answer key before go-live.</t>
  </si>
  <si>
    <t xml:space="preserve">• Empirical item analysis from pilot data: difficulty p-values and discrimination index, then retire weak items.</t>
  </si>
  <si>
    <t xml:space="preserve">• A fairness and bias review of wording and scenarios.</t>
  </si>
  <si>
    <t xml:space="preserve">• Calibration of the 80 percent pass mark against real candidate performance.</t>
  </si>
  <si>
    <t xml:space="preserve">• A scheduled refresh cycle so items do not leak or date.</t>
  </si>
</sst>
</file>

<file path=xl/styles.xml><?xml version="1.0" encoding="utf-8"?>
<styleSheet xmlns="http://schemas.openxmlformats.org/spreadsheetml/2006/main">
  <numFmts count="2">
    <numFmt numFmtId="164" formatCode="General"/>
    <numFmt numFmtId="165" formatCode="0%"/>
  </numFmts>
  <fonts count="13">
    <font>
      <sz val="11"/>
      <color theme="1"/>
      <name val="Calibri"/>
      <family val="2"/>
      <charset val="1"/>
    </font>
    <font>
      <sz val="10"/>
      <name val="Arial"/>
      <family val="0"/>
    </font>
    <font>
      <sz val="10"/>
      <name val="Arial"/>
      <family val="0"/>
    </font>
    <font>
      <sz val="10"/>
      <name val="Arial"/>
      <family val="0"/>
    </font>
    <font>
      <b val="true"/>
      <sz val="22"/>
      <color rgb="FF0E1525"/>
      <name val="Arial"/>
      <family val="0"/>
      <charset val="1"/>
    </font>
    <font>
      <b val="true"/>
      <sz val="14"/>
      <color rgb="FF0E1525"/>
      <name val="Arial"/>
      <family val="0"/>
      <charset val="1"/>
    </font>
    <font>
      <sz val="10"/>
      <color rgb="FF5B6472"/>
      <name val="Arial"/>
      <family val="0"/>
      <charset val="1"/>
    </font>
    <font>
      <b val="true"/>
      <sz val="12"/>
      <color rgb="FFFF6A00"/>
      <name val="Arial"/>
      <family val="0"/>
      <charset val="1"/>
    </font>
    <font>
      <sz val="10"/>
      <name val="Arial"/>
      <family val="0"/>
      <charset val="1"/>
    </font>
    <font>
      <b val="true"/>
      <sz val="11"/>
      <color rgb="FFFFFFFF"/>
      <name val="Arial"/>
      <family val="0"/>
      <charset val="1"/>
    </font>
    <font>
      <b val="true"/>
      <sz val="10"/>
      <name val="Arial"/>
      <family val="0"/>
      <charset val="1"/>
    </font>
    <font>
      <b val="true"/>
      <sz val="10"/>
      <color rgb="FFFF6A00"/>
      <name val="Arial"/>
      <family val="0"/>
      <charset val="1"/>
    </font>
    <font>
      <b val="true"/>
      <sz val="11"/>
      <color rgb="FFFF6A00"/>
      <name val="Arial"/>
      <family val="0"/>
      <charset val="1"/>
    </font>
  </fonts>
  <fills count="3">
    <fill>
      <patternFill patternType="none"/>
    </fill>
    <fill>
      <patternFill patternType="gray125"/>
    </fill>
    <fill>
      <patternFill patternType="solid">
        <fgColor rgb="FF0E1525"/>
        <bgColor rgb="FF000000"/>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0E1525"/>
          <bgColor rgb="FF000000"/>
        </patternFill>
      </fill>
    </dxf>
    <dxf>
      <fill>
        <patternFill patternType="solid">
          <bgColor rgb="FF000000"/>
        </patternFill>
      </fill>
    </dxf>
    <dxf>
      <fill>
        <patternFill patternType="solid">
          <fgColor rgb="FFFFFFFF"/>
          <bgColor rgb="FF000000"/>
        </patternFill>
      </fill>
    </dxf>
    <dxf>
      <fill>
        <patternFill patternType="solid">
          <fgColor rgb="FFFF6A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A00"/>
      <rgbColor rgb="FF5B6472"/>
      <rgbColor rgb="FF969696"/>
      <rgbColor rgb="FF003366"/>
      <rgbColor rgb="FF339966"/>
      <rgbColor rgb="FF0E1525"/>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26.8" hidden="false" customHeight="false" outlineLevel="0" collapsed="false">
      <c r="A1" s="1" t="s">
        <v>0</v>
      </c>
    </row>
    <row r="2" customFormat="false" ht="17.3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row>
    <row r="6" customFormat="false" ht="27.75" hidden="false" customHeight="true" outlineLevel="0" collapsed="false">
      <c r="A6" s="5" t="s">
        <v>4</v>
      </c>
    </row>
    <row r="7" customFormat="false" ht="27.75" hidden="false" customHeight="true" outlineLevel="0" collapsed="false">
      <c r="A7" s="5" t="s">
        <v>5</v>
      </c>
    </row>
    <row r="8" customFormat="false" ht="27.75" hidden="false" customHeight="true" outlineLevel="0" collapsed="false">
      <c r="A8" s="5" t="s">
        <v>6</v>
      </c>
    </row>
    <row r="10" customFormat="false" ht="15" hidden="false" customHeight="false" outlineLevel="0" collapsed="false">
      <c r="A10" s="4" t="s">
        <v>7</v>
      </c>
    </row>
    <row r="11" customFormat="false" ht="27.75" hidden="false" customHeight="true" outlineLevel="0" collapsed="false">
      <c r="A11" s="5" t="s">
        <v>8</v>
      </c>
    </row>
    <row r="12" customFormat="false" ht="27.75" hidden="false" customHeight="true" outlineLevel="0" collapsed="false">
      <c r="A12" s="5" t="s">
        <v>9</v>
      </c>
    </row>
    <row r="13" customFormat="false" ht="27.75" hidden="false" customHeight="true" outlineLevel="0" collapsed="false">
      <c r="A13" s="5" t="s">
        <v>10</v>
      </c>
    </row>
    <row r="14" customFormat="false" ht="27.75" hidden="false" customHeight="true" outlineLevel="0" collapsed="false">
      <c r="A14" s="5" t="s">
        <v>11</v>
      </c>
    </row>
    <row r="15" customFormat="false" ht="27.75" hidden="false" customHeight="true" outlineLevel="0" collapsed="false">
      <c r="A15" s="5" t="s">
        <v>12</v>
      </c>
    </row>
    <row r="16" customFormat="false" ht="27.75" hidden="false" customHeight="true" outlineLevel="0" collapsed="false">
      <c r="A16" s="5" t="s">
        <v>13</v>
      </c>
    </row>
    <row r="17" customFormat="false" ht="27.75" hidden="false" customHeight="true" outlineLevel="0" collapsed="false">
      <c r="A17" s="5" t="s">
        <v>14</v>
      </c>
    </row>
    <row r="18" customFormat="false" ht="27.75" hidden="false" customHeight="true" outlineLevel="0" collapsed="false">
      <c r="A18" s="5" t="s">
        <v>15</v>
      </c>
    </row>
    <row r="19" customFormat="false" ht="27.75" hidden="false" customHeight="true" outlineLevel="0" collapsed="false">
      <c r="A19" s="5" t="s">
        <v>16</v>
      </c>
    </row>
    <row r="21" customFormat="false" ht="15" hidden="false" customHeight="false" outlineLevel="0" collapsed="false">
      <c r="A21" s="4" t="s">
        <v>17</v>
      </c>
    </row>
    <row r="22" customFormat="false" ht="27.75" hidden="false" customHeight="true" outlineLevel="0" collapsed="false">
      <c r="A22" s="5" t="s">
        <v>18</v>
      </c>
    </row>
    <row r="23" customFormat="false" ht="27.75" hidden="false" customHeight="true" outlineLevel="0" collapsed="false">
      <c r="A23" s="5" t="s">
        <v>19</v>
      </c>
    </row>
    <row r="24" customFormat="false" ht="27.75" hidden="false" customHeight="true" outlineLevel="0" collapsed="false">
      <c r="A24" s="5" t="s">
        <v>20</v>
      </c>
    </row>
    <row r="25" customFormat="false" ht="27.75" hidden="false" customHeight="true" outlineLevel="0" collapsed="false">
      <c r="A25" s="5" t="s">
        <v>21</v>
      </c>
    </row>
    <row r="27" customFormat="false" ht="15" hidden="false" customHeight="false" outlineLevel="0" collapsed="false">
      <c r="A27" s="4" t="s">
        <v>22</v>
      </c>
    </row>
    <row r="28" customFormat="false" ht="27.75" hidden="false" customHeight="true" outlineLevel="0" collapsed="false">
      <c r="A28" s="5" t="s">
        <v>23</v>
      </c>
    </row>
    <row r="29" customFormat="false" ht="27.75" hidden="false" customHeight="true" outlineLevel="0" collapsed="false">
      <c r="A29" s="5" t="s">
        <v>24</v>
      </c>
    </row>
    <row r="30" customFormat="false" ht="27.75" hidden="false" customHeight="true" outlineLevel="0" collapsed="false">
      <c r="A30" s="5" t="s">
        <v>25</v>
      </c>
    </row>
    <row r="31" customFormat="false" ht="27.75" hidden="false" customHeight="true" outlineLevel="0" collapsed="false">
      <c r="A31" s="5" t="s">
        <v>26</v>
      </c>
    </row>
    <row r="32" customFormat="false" ht="27.75" hidden="false" customHeight="true" outlineLevel="0" collapsed="false">
      <c r="A32" s="5"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70"/>
  </cols>
  <sheetData>
    <row r="1" customFormat="false" ht="17.35" hidden="false" customHeight="false" outlineLevel="0" collapsed="false">
      <c r="A1" s="2" t="s">
        <v>28</v>
      </c>
    </row>
    <row r="3" customFormat="false" ht="15" hidden="false" customHeight="false" outlineLevel="0" collapsed="false">
      <c r="A3" s="6" t="s">
        <v>29</v>
      </c>
      <c r="B3" s="7" t="s">
        <v>30</v>
      </c>
    </row>
    <row r="4" customFormat="false" ht="15" hidden="false" customHeight="false" outlineLevel="0" collapsed="false">
      <c r="A4" s="8" t="s">
        <v>31</v>
      </c>
      <c r="B4" s="9" t="s">
        <v>32</v>
      </c>
    </row>
    <row r="5" customFormat="false" ht="15" hidden="false" customHeight="false" outlineLevel="0" collapsed="false">
      <c r="A5" s="8" t="s">
        <v>33</v>
      </c>
      <c r="B5" s="9" t="s">
        <v>34</v>
      </c>
    </row>
    <row r="6" customFormat="false" ht="15" hidden="false" customHeight="false" outlineLevel="0" collapsed="false">
      <c r="A6" s="8" t="s">
        <v>35</v>
      </c>
      <c r="B6" s="9" t="s">
        <v>36</v>
      </c>
    </row>
    <row r="7" customFormat="false" ht="15" hidden="false" customHeight="false" outlineLevel="0" collapsed="false">
      <c r="A7" s="8" t="s">
        <v>37</v>
      </c>
      <c r="B7" s="9" t="s">
        <v>38</v>
      </c>
    </row>
    <row r="8" customFormat="false" ht="15" hidden="false" customHeight="false" outlineLevel="0" collapsed="false">
      <c r="A8" s="8" t="s">
        <v>39</v>
      </c>
      <c r="B8" s="9" t="s">
        <v>40</v>
      </c>
    </row>
    <row r="9" customFormat="false" ht="15" hidden="false" customHeight="false" outlineLevel="0" collapsed="false">
      <c r="A9" s="8" t="s">
        <v>41</v>
      </c>
      <c r="B9" s="9" t="s">
        <v>42</v>
      </c>
    </row>
    <row r="10" customFormat="false" ht="15" hidden="false" customHeight="false" outlineLevel="0" collapsed="false">
      <c r="A10" s="8" t="s">
        <v>43</v>
      </c>
      <c r="B10" s="9" t="s">
        <v>44</v>
      </c>
    </row>
    <row r="11" customFormat="false" ht="15" hidden="false" customHeight="false" outlineLevel="0" collapsed="false">
      <c r="A11" s="8" t="s">
        <v>45</v>
      </c>
      <c r="B11" s="9"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8"/>
    <col collapsed="false" customWidth="true" hidden="false" outlineLevel="0" max="5" min="4" style="0" width="10"/>
    <col collapsed="false" customWidth="true" hidden="false" outlineLevel="0" max="6" min="6" style="0" width="46"/>
    <col collapsed="false" customWidth="true" hidden="false" outlineLevel="0" max="10" min="7" style="0" width="22"/>
    <col collapsed="false" customWidth="true" hidden="false" outlineLevel="0" max="12" min="11" style="0" width="16"/>
    <col collapsed="false" customWidth="true" hidden="false" outlineLevel="0" max="13" min="13" style="0" width="12"/>
    <col collapsed="false" customWidth="true" hidden="false" outlineLevel="0" max="14" min="14" style="0" width="18"/>
    <col collapsed="false" customWidth="true" hidden="false" outlineLevel="0" max="15" min="15" style="0" width="46"/>
    <col collapsed="false" customWidth="true" hidden="false" outlineLevel="0" max="16" min="16" style="0" width="18"/>
  </cols>
  <sheetData>
    <row r="1" customFormat="false" ht="26.85" hidden="false" customHeight="false" outlineLevel="0" collapsed="false">
      <c r="A1" s="10" t="s">
        <v>47</v>
      </c>
      <c r="B1" s="10" t="s">
        <v>48</v>
      </c>
      <c r="C1" s="10" t="s">
        <v>49</v>
      </c>
      <c r="D1" s="10" t="s">
        <v>50</v>
      </c>
      <c r="E1" s="10" t="s">
        <v>51</v>
      </c>
      <c r="F1" s="10" t="s">
        <v>52</v>
      </c>
      <c r="G1" s="10" t="s">
        <v>53</v>
      </c>
      <c r="H1" s="10" t="s">
        <v>54</v>
      </c>
      <c r="I1" s="10" t="s">
        <v>55</v>
      </c>
      <c r="J1" s="10" t="s">
        <v>56</v>
      </c>
      <c r="K1" s="10" t="s">
        <v>57</v>
      </c>
      <c r="L1" s="10" t="s">
        <v>58</v>
      </c>
      <c r="M1" s="10" t="s">
        <v>59</v>
      </c>
      <c r="N1" s="10" t="s">
        <v>60</v>
      </c>
      <c r="O1" s="10" t="s">
        <v>61</v>
      </c>
      <c r="P1" s="10" t="s">
        <v>62</v>
      </c>
    </row>
    <row r="2" customFormat="false" ht="23.85" hidden="false" customHeight="false" outlineLevel="0" collapsed="false">
      <c r="A2" s="9" t="s">
        <v>63</v>
      </c>
      <c r="B2" s="9" t="s">
        <v>64</v>
      </c>
      <c r="C2" s="9" t="s">
        <v>65</v>
      </c>
      <c r="D2" s="9" t="s">
        <v>66</v>
      </c>
      <c r="E2" s="9" t="s">
        <v>67</v>
      </c>
      <c r="F2" s="9" t="s">
        <v>68</v>
      </c>
      <c r="G2" s="9" t="s">
        <v>69</v>
      </c>
      <c r="H2" s="9" t="s">
        <v>70</v>
      </c>
      <c r="I2" s="9" t="s">
        <v>71</v>
      </c>
      <c r="J2" s="9" t="s">
        <v>72</v>
      </c>
      <c r="K2" s="9"/>
      <c r="L2" s="9"/>
      <c r="M2" s="11" t="s">
        <v>73</v>
      </c>
      <c r="N2" s="9" t="s">
        <v>74</v>
      </c>
      <c r="O2" s="9" t="s">
        <v>75</v>
      </c>
      <c r="P2" s="9"/>
    </row>
    <row r="3" customFormat="false" ht="23.85" hidden="false" customHeight="false" outlineLevel="0" collapsed="false">
      <c r="A3" s="9" t="s">
        <v>76</v>
      </c>
      <c r="B3" s="9" t="s">
        <v>64</v>
      </c>
      <c r="C3" s="9" t="s">
        <v>65</v>
      </c>
      <c r="D3" s="9" t="s">
        <v>66</v>
      </c>
      <c r="E3" s="9" t="s">
        <v>67</v>
      </c>
      <c r="F3" s="9" t="s">
        <v>77</v>
      </c>
      <c r="G3" s="9" t="s">
        <v>78</v>
      </c>
      <c r="H3" s="9" t="s">
        <v>79</v>
      </c>
      <c r="I3" s="9" t="s">
        <v>80</v>
      </c>
      <c r="J3" s="9" t="s">
        <v>81</v>
      </c>
      <c r="K3" s="9"/>
      <c r="L3" s="9"/>
      <c r="M3" s="11" t="s">
        <v>82</v>
      </c>
      <c r="N3" s="9" t="s">
        <v>74</v>
      </c>
      <c r="O3" s="9" t="s">
        <v>83</v>
      </c>
      <c r="P3" s="9"/>
    </row>
    <row r="4" customFormat="false" ht="23.85" hidden="false" customHeight="false" outlineLevel="0" collapsed="false">
      <c r="A4" s="9" t="s">
        <v>84</v>
      </c>
      <c r="B4" s="9" t="s">
        <v>64</v>
      </c>
      <c r="C4" s="9" t="s">
        <v>65</v>
      </c>
      <c r="D4" s="9" t="s">
        <v>66</v>
      </c>
      <c r="E4" s="9" t="s">
        <v>85</v>
      </c>
      <c r="F4" s="9" t="s">
        <v>86</v>
      </c>
      <c r="G4" s="9" t="s">
        <v>87</v>
      </c>
      <c r="H4" s="9" t="s">
        <v>88</v>
      </c>
      <c r="I4" s="9" t="s">
        <v>89</v>
      </c>
      <c r="J4" s="9" t="s">
        <v>90</v>
      </c>
      <c r="K4" s="9"/>
      <c r="L4" s="9"/>
      <c r="M4" s="11" t="s">
        <v>82</v>
      </c>
      <c r="N4" s="9" t="s">
        <v>74</v>
      </c>
      <c r="O4" s="9" t="s">
        <v>91</v>
      </c>
      <c r="P4" s="9"/>
    </row>
    <row r="5" customFormat="false" ht="23.85" hidden="false" customHeight="false" outlineLevel="0" collapsed="false">
      <c r="A5" s="9" t="s">
        <v>92</v>
      </c>
      <c r="B5" s="9" t="s">
        <v>64</v>
      </c>
      <c r="C5" s="9" t="s">
        <v>65</v>
      </c>
      <c r="D5" s="9" t="s">
        <v>66</v>
      </c>
      <c r="E5" s="9" t="s">
        <v>85</v>
      </c>
      <c r="F5" s="9" t="s">
        <v>93</v>
      </c>
      <c r="G5" s="9" t="s">
        <v>94</v>
      </c>
      <c r="H5" s="9" t="s">
        <v>95</v>
      </c>
      <c r="I5" s="9" t="s">
        <v>96</v>
      </c>
      <c r="J5" s="9" t="s">
        <v>97</v>
      </c>
      <c r="K5" s="9"/>
      <c r="L5" s="9"/>
      <c r="M5" s="11" t="s">
        <v>98</v>
      </c>
      <c r="N5" s="9" t="s">
        <v>74</v>
      </c>
      <c r="O5" s="9" t="s">
        <v>99</v>
      </c>
      <c r="P5" s="9"/>
    </row>
    <row r="6" customFormat="false" ht="23.85" hidden="false" customHeight="false" outlineLevel="0" collapsed="false">
      <c r="A6" s="9" t="s">
        <v>100</v>
      </c>
      <c r="B6" s="9" t="s">
        <v>64</v>
      </c>
      <c r="C6" s="9" t="s">
        <v>65</v>
      </c>
      <c r="D6" s="9" t="s">
        <v>66</v>
      </c>
      <c r="E6" s="9" t="s">
        <v>85</v>
      </c>
      <c r="F6" s="9" t="s">
        <v>101</v>
      </c>
      <c r="G6" s="9" t="s">
        <v>102</v>
      </c>
      <c r="H6" s="9" t="s">
        <v>103</v>
      </c>
      <c r="I6" s="9" t="s">
        <v>104</v>
      </c>
      <c r="J6" s="9" t="s">
        <v>105</v>
      </c>
      <c r="K6" s="9"/>
      <c r="L6" s="9"/>
      <c r="M6" s="11" t="s">
        <v>73</v>
      </c>
      <c r="N6" s="9" t="s">
        <v>74</v>
      </c>
      <c r="O6" s="9" t="s">
        <v>106</v>
      </c>
      <c r="P6" s="9"/>
    </row>
    <row r="7" customFormat="false" ht="23.85" hidden="false" customHeight="false" outlineLevel="0" collapsed="false">
      <c r="A7" s="9" t="s">
        <v>107</v>
      </c>
      <c r="B7" s="9" t="s">
        <v>64</v>
      </c>
      <c r="C7" s="9" t="s">
        <v>65</v>
      </c>
      <c r="D7" s="9" t="s">
        <v>66</v>
      </c>
      <c r="E7" s="9" t="s">
        <v>67</v>
      </c>
      <c r="F7" s="9" t="s">
        <v>108</v>
      </c>
      <c r="G7" s="9" t="s">
        <v>109</v>
      </c>
      <c r="H7" s="9" t="s">
        <v>110</v>
      </c>
      <c r="I7" s="9" t="s">
        <v>111</v>
      </c>
      <c r="J7" s="9" t="s">
        <v>112</v>
      </c>
      <c r="K7" s="9"/>
      <c r="L7" s="9"/>
      <c r="M7" s="11" t="s">
        <v>82</v>
      </c>
      <c r="N7" s="9" t="s">
        <v>74</v>
      </c>
      <c r="O7" s="9" t="s">
        <v>113</v>
      </c>
      <c r="P7" s="9"/>
    </row>
    <row r="8" customFormat="false" ht="23.85" hidden="false" customHeight="false" outlineLevel="0" collapsed="false">
      <c r="A8" s="9" t="s">
        <v>114</v>
      </c>
      <c r="B8" s="9" t="s">
        <v>64</v>
      </c>
      <c r="C8" s="9" t="s">
        <v>65</v>
      </c>
      <c r="D8" s="9" t="s">
        <v>66</v>
      </c>
      <c r="E8" s="9" t="s">
        <v>85</v>
      </c>
      <c r="F8" s="9" t="s">
        <v>115</v>
      </c>
      <c r="G8" s="9" t="s">
        <v>116</v>
      </c>
      <c r="H8" s="9" t="s">
        <v>117</v>
      </c>
      <c r="I8" s="9" t="s">
        <v>118</v>
      </c>
      <c r="J8" s="9" t="s">
        <v>119</v>
      </c>
      <c r="K8" s="9"/>
      <c r="L8" s="9"/>
      <c r="M8" s="11" t="s">
        <v>98</v>
      </c>
      <c r="N8" s="9" t="s">
        <v>74</v>
      </c>
      <c r="O8" s="9" t="s">
        <v>120</v>
      </c>
      <c r="P8" s="9"/>
    </row>
    <row r="9" customFormat="false" ht="23.85" hidden="false" customHeight="false" outlineLevel="0" collapsed="false">
      <c r="A9" s="9" t="s">
        <v>121</v>
      </c>
      <c r="B9" s="9" t="s">
        <v>64</v>
      </c>
      <c r="C9" s="9" t="s">
        <v>65</v>
      </c>
      <c r="D9" s="9" t="s">
        <v>66</v>
      </c>
      <c r="E9" s="9" t="s">
        <v>85</v>
      </c>
      <c r="F9" s="9" t="s">
        <v>122</v>
      </c>
      <c r="G9" s="9" t="s">
        <v>123</v>
      </c>
      <c r="H9" s="9" t="s">
        <v>124</v>
      </c>
      <c r="I9" s="9" t="s">
        <v>125</v>
      </c>
      <c r="J9" s="9" t="s">
        <v>126</v>
      </c>
      <c r="K9" s="9"/>
      <c r="L9" s="9"/>
      <c r="M9" s="11" t="s">
        <v>73</v>
      </c>
      <c r="N9" s="9" t="s">
        <v>74</v>
      </c>
      <c r="O9" s="9" t="s">
        <v>127</v>
      </c>
      <c r="P9" s="9"/>
    </row>
    <row r="10" customFormat="false" ht="35.05" hidden="false" customHeight="false" outlineLevel="0" collapsed="false">
      <c r="A10" s="9" t="s">
        <v>128</v>
      </c>
      <c r="B10" s="9" t="s">
        <v>64</v>
      </c>
      <c r="C10" s="9" t="s">
        <v>65</v>
      </c>
      <c r="D10" s="9" t="s">
        <v>66</v>
      </c>
      <c r="E10" s="9" t="s">
        <v>129</v>
      </c>
      <c r="F10" s="9" t="s">
        <v>130</v>
      </c>
      <c r="G10" s="9" t="s">
        <v>131</v>
      </c>
      <c r="H10" s="9" t="s">
        <v>132</v>
      </c>
      <c r="I10" s="9" t="s">
        <v>133</v>
      </c>
      <c r="J10" s="9" t="s">
        <v>134</v>
      </c>
      <c r="K10" s="9"/>
      <c r="L10" s="9"/>
      <c r="M10" s="11" t="s">
        <v>64</v>
      </c>
      <c r="N10" s="9" t="s">
        <v>74</v>
      </c>
      <c r="O10" s="9" t="s">
        <v>135</v>
      </c>
      <c r="P10" s="9"/>
    </row>
    <row r="11" customFormat="false" ht="23.85" hidden="false" customHeight="false" outlineLevel="0" collapsed="false">
      <c r="A11" s="9" t="s">
        <v>136</v>
      </c>
      <c r="B11" s="9" t="s">
        <v>64</v>
      </c>
      <c r="C11" s="9" t="s">
        <v>65</v>
      </c>
      <c r="D11" s="9" t="s">
        <v>66</v>
      </c>
      <c r="E11" s="9" t="s">
        <v>85</v>
      </c>
      <c r="F11" s="9" t="s">
        <v>137</v>
      </c>
      <c r="G11" s="9" t="s">
        <v>138</v>
      </c>
      <c r="H11" s="9" t="s">
        <v>139</v>
      </c>
      <c r="I11" s="9" t="s">
        <v>140</v>
      </c>
      <c r="J11" s="9" t="s">
        <v>141</v>
      </c>
      <c r="K11" s="9"/>
      <c r="L11" s="9"/>
      <c r="M11" s="11" t="s">
        <v>98</v>
      </c>
      <c r="N11" s="9" t="s">
        <v>74</v>
      </c>
      <c r="O11" s="9" t="s">
        <v>142</v>
      </c>
      <c r="P11" s="9"/>
    </row>
    <row r="12" customFormat="false" ht="23.85" hidden="false" customHeight="false" outlineLevel="0" collapsed="false">
      <c r="A12" s="9" t="s">
        <v>143</v>
      </c>
      <c r="B12" s="9" t="s">
        <v>64</v>
      </c>
      <c r="C12" s="9" t="s">
        <v>65</v>
      </c>
      <c r="D12" s="9" t="s">
        <v>66</v>
      </c>
      <c r="E12" s="9" t="s">
        <v>129</v>
      </c>
      <c r="F12" s="9" t="s">
        <v>144</v>
      </c>
      <c r="G12" s="9" t="s">
        <v>145</v>
      </c>
      <c r="H12" s="9" t="s">
        <v>146</v>
      </c>
      <c r="I12" s="9" t="s">
        <v>147</v>
      </c>
      <c r="J12" s="9" t="s">
        <v>148</v>
      </c>
      <c r="K12" s="9"/>
      <c r="L12" s="9"/>
      <c r="M12" s="11" t="s">
        <v>82</v>
      </c>
      <c r="N12" s="9" t="s">
        <v>74</v>
      </c>
      <c r="O12" s="9" t="s">
        <v>149</v>
      </c>
      <c r="P12" s="9"/>
    </row>
    <row r="13" customFormat="false" ht="15" hidden="false" customHeight="false" outlineLevel="0" collapsed="false">
      <c r="A13" s="9" t="s">
        <v>150</v>
      </c>
      <c r="B13" s="9" t="s">
        <v>64</v>
      </c>
      <c r="C13" s="9" t="s">
        <v>65</v>
      </c>
      <c r="D13" s="9" t="s">
        <v>66</v>
      </c>
      <c r="E13" s="9" t="s">
        <v>85</v>
      </c>
      <c r="F13" s="9" t="s">
        <v>151</v>
      </c>
      <c r="G13" s="9" t="s">
        <v>152</v>
      </c>
      <c r="H13" s="9" t="s">
        <v>153</v>
      </c>
      <c r="I13" s="9" t="s">
        <v>154</v>
      </c>
      <c r="J13" s="9" t="s">
        <v>155</v>
      </c>
      <c r="K13" s="9"/>
      <c r="L13" s="9"/>
      <c r="M13" s="11" t="s">
        <v>82</v>
      </c>
      <c r="N13" s="9" t="s">
        <v>74</v>
      </c>
      <c r="O13" s="9" t="s">
        <v>156</v>
      </c>
      <c r="P13" s="9"/>
    </row>
    <row r="14" customFormat="false" ht="23.85" hidden="false" customHeight="false" outlineLevel="0" collapsed="false">
      <c r="A14" s="9" t="s">
        <v>157</v>
      </c>
      <c r="B14" s="9" t="s">
        <v>64</v>
      </c>
      <c r="C14" s="9" t="s">
        <v>65</v>
      </c>
      <c r="D14" s="9" t="s">
        <v>66</v>
      </c>
      <c r="E14" s="9" t="s">
        <v>85</v>
      </c>
      <c r="F14" s="9" t="s">
        <v>158</v>
      </c>
      <c r="G14" s="9" t="s">
        <v>159</v>
      </c>
      <c r="H14" s="9" t="s">
        <v>160</v>
      </c>
      <c r="I14" s="9" t="s">
        <v>161</v>
      </c>
      <c r="J14" s="9" t="s">
        <v>162</v>
      </c>
      <c r="K14" s="9"/>
      <c r="L14" s="9"/>
      <c r="M14" s="11" t="s">
        <v>64</v>
      </c>
      <c r="N14" s="9" t="s">
        <v>74</v>
      </c>
      <c r="O14" s="9" t="s">
        <v>163</v>
      </c>
      <c r="P14" s="9"/>
    </row>
    <row r="15" customFormat="false" ht="15" hidden="false" customHeight="false" outlineLevel="0" collapsed="false">
      <c r="A15" s="9" t="s">
        <v>164</v>
      </c>
      <c r="B15" s="9" t="s">
        <v>64</v>
      </c>
      <c r="C15" s="9" t="s">
        <v>65</v>
      </c>
      <c r="D15" s="9" t="s">
        <v>66</v>
      </c>
      <c r="E15" s="9" t="s">
        <v>67</v>
      </c>
      <c r="F15" s="9" t="s">
        <v>165</v>
      </c>
      <c r="G15" s="9" t="s">
        <v>166</v>
      </c>
      <c r="H15" s="9" t="s">
        <v>167</v>
      </c>
      <c r="I15" s="9" t="s">
        <v>168</v>
      </c>
      <c r="J15" s="9" t="s">
        <v>169</v>
      </c>
      <c r="K15" s="9"/>
      <c r="L15" s="9"/>
      <c r="M15" s="11" t="s">
        <v>82</v>
      </c>
      <c r="N15" s="9" t="s">
        <v>74</v>
      </c>
      <c r="O15" s="9" t="s">
        <v>170</v>
      </c>
      <c r="P15" s="9"/>
    </row>
    <row r="16" customFormat="false" ht="15" hidden="false" customHeight="false" outlineLevel="0" collapsed="false">
      <c r="A16" s="9" t="s">
        <v>171</v>
      </c>
      <c r="B16" s="9" t="s">
        <v>64</v>
      </c>
      <c r="C16" s="9" t="s">
        <v>65</v>
      </c>
      <c r="D16" s="9" t="s">
        <v>66</v>
      </c>
      <c r="E16" s="9" t="s">
        <v>129</v>
      </c>
      <c r="F16" s="9" t="s">
        <v>172</v>
      </c>
      <c r="G16" s="9" t="s">
        <v>173</v>
      </c>
      <c r="H16" s="9" t="s">
        <v>116</v>
      </c>
      <c r="I16" s="9" t="s">
        <v>174</v>
      </c>
      <c r="J16" s="9" t="s">
        <v>175</v>
      </c>
      <c r="K16" s="9"/>
      <c r="L16" s="9"/>
      <c r="M16" s="11" t="s">
        <v>73</v>
      </c>
      <c r="N16" s="9" t="s">
        <v>74</v>
      </c>
      <c r="O16" s="9" t="s">
        <v>176</v>
      </c>
      <c r="P16" s="9"/>
    </row>
    <row r="17" customFormat="false" ht="23.85" hidden="false" customHeight="false" outlineLevel="0" collapsed="false">
      <c r="A17" s="9" t="s">
        <v>177</v>
      </c>
      <c r="B17" s="9" t="s">
        <v>64</v>
      </c>
      <c r="C17" s="9" t="s">
        <v>65</v>
      </c>
      <c r="D17" s="9" t="s">
        <v>66</v>
      </c>
      <c r="E17" s="9" t="s">
        <v>67</v>
      </c>
      <c r="F17" s="9" t="s">
        <v>178</v>
      </c>
      <c r="G17" s="9" t="s">
        <v>179</v>
      </c>
      <c r="H17" s="9" t="s">
        <v>180</v>
      </c>
      <c r="I17" s="9" t="s">
        <v>181</v>
      </c>
      <c r="J17" s="9" t="s">
        <v>182</v>
      </c>
      <c r="K17" s="9"/>
      <c r="L17" s="9"/>
      <c r="M17" s="11" t="s">
        <v>64</v>
      </c>
      <c r="N17" s="9" t="s">
        <v>74</v>
      </c>
      <c r="O17" s="9" t="s">
        <v>183</v>
      </c>
      <c r="P17" s="9"/>
    </row>
    <row r="18" customFormat="false" ht="23.85" hidden="false" customHeight="false" outlineLevel="0" collapsed="false">
      <c r="A18" s="9" t="s">
        <v>184</v>
      </c>
      <c r="B18" s="9" t="s">
        <v>64</v>
      </c>
      <c r="C18" s="9" t="s">
        <v>65</v>
      </c>
      <c r="D18" s="9" t="s">
        <v>66</v>
      </c>
      <c r="E18" s="9" t="s">
        <v>67</v>
      </c>
      <c r="F18" s="9" t="s">
        <v>185</v>
      </c>
      <c r="G18" s="9" t="s">
        <v>186</v>
      </c>
      <c r="H18" s="9" t="s">
        <v>187</v>
      </c>
      <c r="I18" s="9" t="s">
        <v>188</v>
      </c>
      <c r="J18" s="9" t="s">
        <v>189</v>
      </c>
      <c r="K18" s="9"/>
      <c r="L18" s="9"/>
      <c r="M18" s="11" t="s">
        <v>73</v>
      </c>
      <c r="N18" s="9" t="s">
        <v>74</v>
      </c>
      <c r="O18" s="9" t="s">
        <v>190</v>
      </c>
      <c r="P18" s="9"/>
    </row>
    <row r="19" customFormat="false" ht="23.85" hidden="false" customHeight="false" outlineLevel="0" collapsed="false">
      <c r="A19" s="9" t="s">
        <v>191</v>
      </c>
      <c r="B19" s="9" t="s">
        <v>64</v>
      </c>
      <c r="C19" s="9" t="s">
        <v>65</v>
      </c>
      <c r="D19" s="9" t="s">
        <v>66</v>
      </c>
      <c r="E19" s="9" t="s">
        <v>85</v>
      </c>
      <c r="F19" s="9" t="s">
        <v>192</v>
      </c>
      <c r="G19" s="9" t="s">
        <v>193</v>
      </c>
      <c r="H19" s="9" t="s">
        <v>194</v>
      </c>
      <c r="I19" s="9" t="s">
        <v>195</v>
      </c>
      <c r="J19" s="9" t="s">
        <v>196</v>
      </c>
      <c r="K19" s="9"/>
      <c r="L19" s="9"/>
      <c r="M19" s="11" t="s">
        <v>98</v>
      </c>
      <c r="N19" s="9" t="s">
        <v>74</v>
      </c>
      <c r="O19" s="9" t="s">
        <v>197</v>
      </c>
      <c r="P19" s="9"/>
    </row>
    <row r="20" customFormat="false" ht="23.85" hidden="false" customHeight="false" outlineLevel="0" collapsed="false">
      <c r="A20" s="9" t="s">
        <v>198</v>
      </c>
      <c r="B20" s="9" t="s">
        <v>64</v>
      </c>
      <c r="C20" s="9" t="s">
        <v>65</v>
      </c>
      <c r="D20" s="9" t="s">
        <v>66</v>
      </c>
      <c r="E20" s="9" t="s">
        <v>85</v>
      </c>
      <c r="F20" s="9" t="s">
        <v>199</v>
      </c>
      <c r="G20" s="9" t="s">
        <v>200</v>
      </c>
      <c r="H20" s="9" t="s">
        <v>201</v>
      </c>
      <c r="I20" s="9" t="s">
        <v>202</v>
      </c>
      <c r="J20" s="9" t="s">
        <v>203</v>
      </c>
      <c r="K20" s="9"/>
      <c r="L20" s="9"/>
      <c r="M20" s="11" t="s">
        <v>73</v>
      </c>
      <c r="N20" s="9" t="s">
        <v>74</v>
      </c>
      <c r="O20" s="9" t="s">
        <v>204</v>
      </c>
      <c r="P20" s="9"/>
    </row>
    <row r="21" customFormat="false" ht="23.85" hidden="false" customHeight="false" outlineLevel="0" collapsed="false">
      <c r="A21" s="9" t="s">
        <v>205</v>
      </c>
      <c r="B21" s="9" t="s">
        <v>64</v>
      </c>
      <c r="C21" s="9" t="s">
        <v>65</v>
      </c>
      <c r="D21" s="9" t="s">
        <v>66</v>
      </c>
      <c r="E21" s="9" t="s">
        <v>85</v>
      </c>
      <c r="F21" s="9" t="s">
        <v>206</v>
      </c>
      <c r="G21" s="9" t="s">
        <v>207</v>
      </c>
      <c r="H21" s="9" t="s">
        <v>208</v>
      </c>
      <c r="I21" s="9" t="s">
        <v>209</v>
      </c>
      <c r="J21" s="9" t="s">
        <v>210</v>
      </c>
      <c r="K21" s="9"/>
      <c r="L21" s="9"/>
      <c r="M21" s="11" t="s">
        <v>98</v>
      </c>
      <c r="N21" s="9" t="s">
        <v>74</v>
      </c>
      <c r="O21" s="9" t="s">
        <v>211</v>
      </c>
      <c r="P21" s="9"/>
    </row>
    <row r="22" customFormat="false" ht="23.85" hidden="false" customHeight="false" outlineLevel="0" collapsed="false">
      <c r="A22" s="9" t="s">
        <v>212</v>
      </c>
      <c r="B22" s="9" t="s">
        <v>64</v>
      </c>
      <c r="C22" s="9" t="s">
        <v>65</v>
      </c>
      <c r="D22" s="9" t="s">
        <v>66</v>
      </c>
      <c r="E22" s="9" t="s">
        <v>129</v>
      </c>
      <c r="F22" s="9" t="s">
        <v>213</v>
      </c>
      <c r="G22" s="9" t="s">
        <v>214</v>
      </c>
      <c r="H22" s="9" t="s">
        <v>215</v>
      </c>
      <c r="I22" s="9" t="s">
        <v>216</v>
      </c>
      <c r="J22" s="9" t="s">
        <v>217</v>
      </c>
      <c r="K22" s="9"/>
      <c r="L22" s="9"/>
      <c r="M22" s="11" t="s">
        <v>73</v>
      </c>
      <c r="N22" s="9" t="s">
        <v>74</v>
      </c>
      <c r="O22" s="9" t="s">
        <v>218</v>
      </c>
      <c r="P22" s="9"/>
    </row>
    <row r="23" customFormat="false" ht="15" hidden="false" customHeight="false" outlineLevel="0" collapsed="false">
      <c r="A23" s="9" t="s">
        <v>219</v>
      </c>
      <c r="B23" s="9" t="s">
        <v>64</v>
      </c>
      <c r="C23" s="9" t="s">
        <v>65</v>
      </c>
      <c r="D23" s="9" t="s">
        <v>66</v>
      </c>
      <c r="E23" s="9" t="s">
        <v>85</v>
      </c>
      <c r="F23" s="9" t="s">
        <v>220</v>
      </c>
      <c r="G23" s="9" t="s">
        <v>221</v>
      </c>
      <c r="H23" s="9" t="s">
        <v>222</v>
      </c>
      <c r="I23" s="9" t="s">
        <v>223</v>
      </c>
      <c r="J23" s="9" t="s">
        <v>224</v>
      </c>
      <c r="K23" s="9"/>
      <c r="L23" s="9"/>
      <c r="M23" s="11" t="s">
        <v>64</v>
      </c>
      <c r="N23" s="9" t="s">
        <v>74</v>
      </c>
      <c r="O23" s="9" t="s">
        <v>225</v>
      </c>
      <c r="P23" s="9"/>
    </row>
    <row r="24" customFormat="false" ht="23.85" hidden="false" customHeight="false" outlineLevel="0" collapsed="false">
      <c r="A24" s="9" t="s">
        <v>226</v>
      </c>
      <c r="B24" s="9" t="s">
        <v>64</v>
      </c>
      <c r="C24" s="9" t="s">
        <v>65</v>
      </c>
      <c r="D24" s="9" t="s">
        <v>66</v>
      </c>
      <c r="E24" s="9" t="s">
        <v>85</v>
      </c>
      <c r="F24" s="9" t="s">
        <v>227</v>
      </c>
      <c r="G24" s="9" t="s">
        <v>228</v>
      </c>
      <c r="H24" s="9" t="s">
        <v>229</v>
      </c>
      <c r="I24" s="9" t="s">
        <v>230</v>
      </c>
      <c r="J24" s="9" t="s">
        <v>231</v>
      </c>
      <c r="K24" s="9"/>
      <c r="L24" s="9"/>
      <c r="M24" s="11" t="s">
        <v>64</v>
      </c>
      <c r="N24" s="9" t="s">
        <v>74</v>
      </c>
      <c r="O24" s="9" t="s">
        <v>232</v>
      </c>
      <c r="P24" s="9"/>
    </row>
    <row r="25" customFormat="false" ht="23.85" hidden="false" customHeight="false" outlineLevel="0" collapsed="false">
      <c r="A25" s="9" t="s">
        <v>233</v>
      </c>
      <c r="B25" s="9" t="s">
        <v>64</v>
      </c>
      <c r="C25" s="9" t="s">
        <v>65</v>
      </c>
      <c r="D25" s="9" t="s">
        <v>66</v>
      </c>
      <c r="E25" s="9" t="s">
        <v>67</v>
      </c>
      <c r="F25" s="9" t="s">
        <v>234</v>
      </c>
      <c r="G25" s="9" t="s">
        <v>235</v>
      </c>
      <c r="H25" s="9" t="s">
        <v>236</v>
      </c>
      <c r="I25" s="9" t="s">
        <v>237</v>
      </c>
      <c r="J25" s="9" t="s">
        <v>238</v>
      </c>
      <c r="K25" s="9"/>
      <c r="L25" s="9"/>
      <c r="M25" s="11" t="s">
        <v>73</v>
      </c>
      <c r="N25" s="9" t="s">
        <v>74</v>
      </c>
      <c r="O25" s="9" t="s">
        <v>239</v>
      </c>
      <c r="P25" s="9"/>
    </row>
    <row r="26" customFormat="false" ht="23.85" hidden="false" customHeight="false" outlineLevel="0" collapsed="false">
      <c r="A26" s="9" t="s">
        <v>240</v>
      </c>
      <c r="B26" s="9" t="s">
        <v>64</v>
      </c>
      <c r="C26" s="9" t="s">
        <v>65</v>
      </c>
      <c r="D26" s="9" t="s">
        <v>66</v>
      </c>
      <c r="E26" s="9" t="s">
        <v>85</v>
      </c>
      <c r="F26" s="9" t="s">
        <v>241</v>
      </c>
      <c r="G26" s="9" t="s">
        <v>242</v>
      </c>
      <c r="H26" s="9" t="s">
        <v>243</v>
      </c>
      <c r="I26" s="9" t="s">
        <v>244</v>
      </c>
      <c r="J26" s="9" t="s">
        <v>245</v>
      </c>
      <c r="K26" s="9"/>
      <c r="L26" s="9"/>
      <c r="M26" s="11" t="s">
        <v>64</v>
      </c>
      <c r="N26" s="9" t="s">
        <v>74</v>
      </c>
      <c r="O26" s="9" t="s">
        <v>246</v>
      </c>
      <c r="P26" s="9"/>
    </row>
    <row r="27" customFormat="false" ht="23.85" hidden="false" customHeight="false" outlineLevel="0" collapsed="false">
      <c r="A27" s="9" t="s">
        <v>247</v>
      </c>
      <c r="B27" s="9" t="s">
        <v>64</v>
      </c>
      <c r="C27" s="9" t="s">
        <v>65</v>
      </c>
      <c r="D27" s="9" t="s">
        <v>66</v>
      </c>
      <c r="E27" s="9" t="s">
        <v>67</v>
      </c>
      <c r="F27" s="9" t="s">
        <v>248</v>
      </c>
      <c r="G27" s="9" t="s">
        <v>249</v>
      </c>
      <c r="H27" s="9" t="s">
        <v>250</v>
      </c>
      <c r="I27" s="9" t="s">
        <v>251</v>
      </c>
      <c r="J27" s="9" t="s">
        <v>252</v>
      </c>
      <c r="K27" s="9"/>
      <c r="L27" s="9"/>
      <c r="M27" s="11" t="s">
        <v>64</v>
      </c>
      <c r="N27" s="9" t="s">
        <v>74</v>
      </c>
      <c r="O27" s="9" t="s">
        <v>253</v>
      </c>
      <c r="P27" s="9"/>
    </row>
    <row r="28" customFormat="false" ht="23.85" hidden="false" customHeight="false" outlineLevel="0" collapsed="false">
      <c r="A28" s="9" t="s">
        <v>254</v>
      </c>
      <c r="B28" s="9" t="s">
        <v>64</v>
      </c>
      <c r="C28" s="9" t="s">
        <v>65</v>
      </c>
      <c r="D28" s="9" t="s">
        <v>66</v>
      </c>
      <c r="E28" s="9" t="s">
        <v>85</v>
      </c>
      <c r="F28" s="9" t="s">
        <v>255</v>
      </c>
      <c r="G28" s="9" t="s">
        <v>256</v>
      </c>
      <c r="H28" s="9" t="s">
        <v>257</v>
      </c>
      <c r="I28" s="9" t="s">
        <v>258</v>
      </c>
      <c r="J28" s="9" t="s">
        <v>259</v>
      </c>
      <c r="K28" s="9"/>
      <c r="L28" s="9"/>
      <c r="M28" s="11" t="s">
        <v>73</v>
      </c>
      <c r="N28" s="9" t="s">
        <v>74</v>
      </c>
      <c r="O28" s="9" t="s">
        <v>260</v>
      </c>
      <c r="P28" s="9"/>
    </row>
    <row r="29" customFormat="false" ht="15" hidden="false" customHeight="false" outlineLevel="0" collapsed="false">
      <c r="A29" s="9" t="s">
        <v>261</v>
      </c>
      <c r="B29" s="9" t="s">
        <v>64</v>
      </c>
      <c r="C29" s="9" t="s">
        <v>65</v>
      </c>
      <c r="D29" s="9" t="s">
        <v>66</v>
      </c>
      <c r="E29" s="9" t="s">
        <v>85</v>
      </c>
      <c r="F29" s="9" t="s">
        <v>262</v>
      </c>
      <c r="G29" s="9" t="s">
        <v>263</v>
      </c>
      <c r="H29" s="9" t="s">
        <v>264</v>
      </c>
      <c r="I29" s="9" t="s">
        <v>265</v>
      </c>
      <c r="J29" s="9" t="s">
        <v>266</v>
      </c>
      <c r="K29" s="9"/>
      <c r="L29" s="9"/>
      <c r="M29" s="11" t="s">
        <v>82</v>
      </c>
      <c r="N29" s="9" t="s">
        <v>74</v>
      </c>
      <c r="O29" s="9" t="s">
        <v>267</v>
      </c>
      <c r="P29" s="9"/>
    </row>
    <row r="30" customFormat="false" ht="23.85" hidden="false" customHeight="false" outlineLevel="0" collapsed="false">
      <c r="A30" s="9" t="s">
        <v>268</v>
      </c>
      <c r="B30" s="9" t="s">
        <v>64</v>
      </c>
      <c r="C30" s="9" t="s">
        <v>65</v>
      </c>
      <c r="D30" s="9" t="s">
        <v>66</v>
      </c>
      <c r="E30" s="9" t="s">
        <v>85</v>
      </c>
      <c r="F30" s="9" t="s">
        <v>269</v>
      </c>
      <c r="G30" s="9" t="s">
        <v>270</v>
      </c>
      <c r="H30" s="9" t="s">
        <v>271</v>
      </c>
      <c r="I30" s="9" t="s">
        <v>272</v>
      </c>
      <c r="J30" s="9" t="s">
        <v>273</v>
      </c>
      <c r="K30" s="9"/>
      <c r="L30" s="9"/>
      <c r="M30" s="11" t="s">
        <v>73</v>
      </c>
      <c r="N30" s="9" t="s">
        <v>74</v>
      </c>
      <c r="O30" s="9" t="s">
        <v>274</v>
      </c>
      <c r="P30" s="9"/>
    </row>
    <row r="31" customFormat="false" ht="23.85" hidden="false" customHeight="false" outlineLevel="0" collapsed="false">
      <c r="A31" s="9" t="s">
        <v>275</v>
      </c>
      <c r="B31" s="9" t="s">
        <v>64</v>
      </c>
      <c r="C31" s="9" t="s">
        <v>65</v>
      </c>
      <c r="D31" s="9" t="s">
        <v>66</v>
      </c>
      <c r="E31" s="9" t="s">
        <v>129</v>
      </c>
      <c r="F31" s="9" t="s">
        <v>276</v>
      </c>
      <c r="G31" s="9" t="s">
        <v>277</v>
      </c>
      <c r="H31" s="9" t="s">
        <v>278</v>
      </c>
      <c r="I31" s="9" t="s">
        <v>279</v>
      </c>
      <c r="J31" s="9" t="s">
        <v>280</v>
      </c>
      <c r="K31" s="9"/>
      <c r="L31" s="9"/>
      <c r="M31" s="11" t="s">
        <v>64</v>
      </c>
      <c r="N31" s="9" t="s">
        <v>74</v>
      </c>
      <c r="O31" s="9" t="s">
        <v>281</v>
      </c>
      <c r="P31" s="9"/>
    </row>
    <row r="32" customFormat="false" ht="23.85" hidden="false" customHeight="false" outlineLevel="0" collapsed="false">
      <c r="A32" s="9" t="s">
        <v>282</v>
      </c>
      <c r="B32" s="9" t="s">
        <v>64</v>
      </c>
      <c r="C32" s="9" t="s">
        <v>65</v>
      </c>
      <c r="D32" s="9" t="s">
        <v>66</v>
      </c>
      <c r="E32" s="9" t="s">
        <v>85</v>
      </c>
      <c r="F32" s="9" t="s">
        <v>283</v>
      </c>
      <c r="G32" s="9" t="s">
        <v>284</v>
      </c>
      <c r="H32" s="9" t="s">
        <v>285</v>
      </c>
      <c r="I32" s="9" t="s">
        <v>286</v>
      </c>
      <c r="J32" s="9" t="s">
        <v>287</v>
      </c>
      <c r="K32" s="9"/>
      <c r="L32" s="9"/>
      <c r="M32" s="11" t="s">
        <v>64</v>
      </c>
      <c r="N32" s="9" t="s">
        <v>74</v>
      </c>
      <c r="O32" s="9" t="s">
        <v>288</v>
      </c>
      <c r="P32" s="9"/>
    </row>
    <row r="33" customFormat="false" ht="23.85" hidden="false" customHeight="false" outlineLevel="0" collapsed="false">
      <c r="A33" s="9" t="s">
        <v>289</v>
      </c>
      <c r="B33" s="9" t="s">
        <v>64</v>
      </c>
      <c r="C33" s="9" t="s">
        <v>65</v>
      </c>
      <c r="D33" s="9" t="s">
        <v>66</v>
      </c>
      <c r="E33" s="9" t="s">
        <v>129</v>
      </c>
      <c r="F33" s="9" t="s">
        <v>290</v>
      </c>
      <c r="G33" s="9" t="s">
        <v>291</v>
      </c>
      <c r="H33" s="9" t="s">
        <v>292</v>
      </c>
      <c r="I33" s="9" t="s">
        <v>293</v>
      </c>
      <c r="J33" s="9" t="s">
        <v>294</v>
      </c>
      <c r="K33" s="9"/>
      <c r="L33" s="9"/>
      <c r="M33" s="11" t="s">
        <v>73</v>
      </c>
      <c r="N33" s="9" t="s">
        <v>74</v>
      </c>
      <c r="O33" s="9" t="s">
        <v>295</v>
      </c>
      <c r="P33" s="9"/>
    </row>
    <row r="34" customFormat="false" ht="23.85" hidden="false" customHeight="false" outlineLevel="0" collapsed="false">
      <c r="A34" s="9" t="s">
        <v>296</v>
      </c>
      <c r="B34" s="9" t="s">
        <v>64</v>
      </c>
      <c r="C34" s="9" t="s">
        <v>65</v>
      </c>
      <c r="D34" s="9" t="s">
        <v>66</v>
      </c>
      <c r="E34" s="9" t="s">
        <v>129</v>
      </c>
      <c r="F34" s="9" t="s">
        <v>297</v>
      </c>
      <c r="G34" s="9" t="s">
        <v>298</v>
      </c>
      <c r="H34" s="9" t="s">
        <v>299</v>
      </c>
      <c r="I34" s="9" t="s">
        <v>300</v>
      </c>
      <c r="J34" s="9" t="s">
        <v>301</v>
      </c>
      <c r="K34" s="9"/>
      <c r="L34" s="9"/>
      <c r="M34" s="11" t="s">
        <v>98</v>
      </c>
      <c r="N34" s="9" t="s">
        <v>74</v>
      </c>
      <c r="O34" s="9" t="s">
        <v>302</v>
      </c>
      <c r="P34" s="9"/>
    </row>
    <row r="35" customFormat="false" ht="15" hidden="false" customHeight="false" outlineLevel="0" collapsed="false">
      <c r="A35" s="9" t="s">
        <v>303</v>
      </c>
      <c r="B35" s="9" t="s">
        <v>64</v>
      </c>
      <c r="C35" s="9" t="s">
        <v>65</v>
      </c>
      <c r="D35" s="9" t="s">
        <v>66</v>
      </c>
      <c r="E35" s="9" t="s">
        <v>85</v>
      </c>
      <c r="F35" s="9" t="s">
        <v>304</v>
      </c>
      <c r="G35" s="9" t="s">
        <v>305</v>
      </c>
      <c r="H35" s="9" t="s">
        <v>306</v>
      </c>
      <c r="I35" s="9" t="s">
        <v>307</v>
      </c>
      <c r="J35" s="9" t="s">
        <v>308</v>
      </c>
      <c r="K35" s="9"/>
      <c r="L35" s="9"/>
      <c r="M35" s="11" t="s">
        <v>98</v>
      </c>
      <c r="N35" s="9" t="s">
        <v>74</v>
      </c>
      <c r="O35" s="9" t="s">
        <v>309</v>
      </c>
      <c r="P35" s="9"/>
    </row>
    <row r="36" customFormat="false" ht="23.85" hidden="false" customHeight="false" outlineLevel="0" collapsed="false">
      <c r="A36" s="9" t="s">
        <v>310</v>
      </c>
      <c r="B36" s="9" t="s">
        <v>64</v>
      </c>
      <c r="C36" s="9" t="s">
        <v>65</v>
      </c>
      <c r="D36" s="9" t="s">
        <v>66</v>
      </c>
      <c r="E36" s="9" t="s">
        <v>129</v>
      </c>
      <c r="F36" s="9" t="s">
        <v>311</v>
      </c>
      <c r="G36" s="9" t="s">
        <v>312</v>
      </c>
      <c r="H36" s="9" t="s">
        <v>313</v>
      </c>
      <c r="I36" s="9" t="s">
        <v>314</v>
      </c>
      <c r="J36" s="9" t="s">
        <v>315</v>
      </c>
      <c r="K36" s="9"/>
      <c r="L36" s="9"/>
      <c r="M36" s="11" t="s">
        <v>82</v>
      </c>
      <c r="N36" s="9" t="s">
        <v>74</v>
      </c>
      <c r="O36" s="9" t="s">
        <v>316</v>
      </c>
      <c r="P36" s="9"/>
    </row>
    <row r="37" customFormat="false" ht="23.85" hidden="false" customHeight="false" outlineLevel="0" collapsed="false">
      <c r="A37" s="9" t="s">
        <v>317</v>
      </c>
      <c r="B37" s="9" t="s">
        <v>64</v>
      </c>
      <c r="C37" s="9" t="s">
        <v>65</v>
      </c>
      <c r="D37" s="9" t="s">
        <v>66</v>
      </c>
      <c r="E37" s="9" t="s">
        <v>85</v>
      </c>
      <c r="F37" s="9" t="s">
        <v>318</v>
      </c>
      <c r="G37" s="9" t="s">
        <v>319</v>
      </c>
      <c r="H37" s="9" t="s">
        <v>320</v>
      </c>
      <c r="I37" s="9" t="s">
        <v>321</v>
      </c>
      <c r="J37" s="9" t="s">
        <v>322</v>
      </c>
      <c r="K37" s="9"/>
      <c r="L37" s="9"/>
      <c r="M37" s="11" t="s">
        <v>98</v>
      </c>
      <c r="N37" s="9" t="s">
        <v>74</v>
      </c>
      <c r="O37" s="9" t="s">
        <v>323</v>
      </c>
      <c r="P37" s="9"/>
    </row>
    <row r="38" customFormat="false" ht="23.85" hidden="false" customHeight="false" outlineLevel="0" collapsed="false">
      <c r="A38" s="9" t="s">
        <v>324</v>
      </c>
      <c r="B38" s="9" t="s">
        <v>64</v>
      </c>
      <c r="C38" s="9" t="s">
        <v>65</v>
      </c>
      <c r="D38" s="9" t="s">
        <v>66</v>
      </c>
      <c r="E38" s="9" t="s">
        <v>67</v>
      </c>
      <c r="F38" s="9" t="s">
        <v>325</v>
      </c>
      <c r="G38" s="9" t="s">
        <v>326</v>
      </c>
      <c r="H38" s="9" t="s">
        <v>327</v>
      </c>
      <c r="I38" s="9" t="s">
        <v>328</v>
      </c>
      <c r="J38" s="9" t="s">
        <v>329</v>
      </c>
      <c r="K38" s="9"/>
      <c r="L38" s="9"/>
      <c r="M38" s="11" t="s">
        <v>98</v>
      </c>
      <c r="N38" s="9" t="s">
        <v>74</v>
      </c>
      <c r="O38" s="9" t="s">
        <v>330</v>
      </c>
      <c r="P38" s="9"/>
    </row>
    <row r="39" customFormat="false" ht="23.85" hidden="false" customHeight="false" outlineLevel="0" collapsed="false">
      <c r="A39" s="9" t="s">
        <v>331</v>
      </c>
      <c r="B39" s="9" t="s">
        <v>64</v>
      </c>
      <c r="C39" s="9" t="s">
        <v>65</v>
      </c>
      <c r="D39" s="9" t="s">
        <v>66</v>
      </c>
      <c r="E39" s="9" t="s">
        <v>129</v>
      </c>
      <c r="F39" s="9" t="s">
        <v>332</v>
      </c>
      <c r="G39" s="9" t="s">
        <v>333</v>
      </c>
      <c r="H39" s="9" t="s">
        <v>334</v>
      </c>
      <c r="I39" s="9" t="s">
        <v>335</v>
      </c>
      <c r="J39" s="9" t="s">
        <v>336</v>
      </c>
      <c r="K39" s="9"/>
      <c r="L39" s="9"/>
      <c r="M39" s="11" t="s">
        <v>98</v>
      </c>
      <c r="N39" s="9" t="s">
        <v>74</v>
      </c>
      <c r="O39" s="9" t="s">
        <v>337</v>
      </c>
      <c r="P39" s="9"/>
    </row>
    <row r="40" customFormat="false" ht="23.85" hidden="false" customHeight="false" outlineLevel="0" collapsed="false">
      <c r="A40" s="9" t="s">
        <v>338</v>
      </c>
      <c r="B40" s="9" t="s">
        <v>64</v>
      </c>
      <c r="C40" s="9" t="s">
        <v>65</v>
      </c>
      <c r="D40" s="9" t="s">
        <v>66</v>
      </c>
      <c r="E40" s="9" t="s">
        <v>85</v>
      </c>
      <c r="F40" s="9" t="s">
        <v>339</v>
      </c>
      <c r="G40" s="9" t="s">
        <v>340</v>
      </c>
      <c r="H40" s="9" t="s">
        <v>341</v>
      </c>
      <c r="I40" s="9" t="s">
        <v>342</v>
      </c>
      <c r="J40" s="9" t="s">
        <v>343</v>
      </c>
      <c r="K40" s="9"/>
      <c r="L40" s="9"/>
      <c r="M40" s="11" t="s">
        <v>64</v>
      </c>
      <c r="N40" s="9" t="s">
        <v>74</v>
      </c>
      <c r="O40" s="9" t="s">
        <v>344</v>
      </c>
      <c r="P40" s="9"/>
    </row>
    <row r="41" customFormat="false" ht="35.05" hidden="false" customHeight="false" outlineLevel="0" collapsed="false">
      <c r="A41" s="9" t="s">
        <v>345</v>
      </c>
      <c r="B41" s="9" t="s">
        <v>64</v>
      </c>
      <c r="C41" s="9" t="s">
        <v>65</v>
      </c>
      <c r="D41" s="9" t="s">
        <v>66</v>
      </c>
      <c r="E41" s="9" t="s">
        <v>129</v>
      </c>
      <c r="F41" s="9" t="s">
        <v>346</v>
      </c>
      <c r="G41" s="9" t="s">
        <v>347</v>
      </c>
      <c r="H41" s="9" t="s">
        <v>348</v>
      </c>
      <c r="I41" s="9" t="s">
        <v>349</v>
      </c>
      <c r="J41" s="9" t="s">
        <v>350</v>
      </c>
      <c r="K41" s="9"/>
      <c r="L41" s="9"/>
      <c r="M41" s="11" t="s">
        <v>98</v>
      </c>
      <c r="N41" s="9" t="s">
        <v>74</v>
      </c>
      <c r="O41" s="9" t="s">
        <v>351</v>
      </c>
      <c r="P41" s="9"/>
    </row>
    <row r="42" customFormat="false" ht="23.85" hidden="false" customHeight="false" outlineLevel="0" collapsed="false">
      <c r="A42" s="9" t="s">
        <v>352</v>
      </c>
      <c r="B42" s="9" t="s">
        <v>64</v>
      </c>
      <c r="C42" s="9" t="s">
        <v>65</v>
      </c>
      <c r="D42" s="9" t="s">
        <v>66</v>
      </c>
      <c r="E42" s="9" t="s">
        <v>85</v>
      </c>
      <c r="F42" s="9" t="s">
        <v>353</v>
      </c>
      <c r="G42" s="9" t="s">
        <v>354</v>
      </c>
      <c r="H42" s="9" t="s">
        <v>355</v>
      </c>
      <c r="I42" s="9" t="s">
        <v>356</v>
      </c>
      <c r="J42" s="9" t="s">
        <v>357</v>
      </c>
      <c r="K42" s="9"/>
      <c r="L42" s="9"/>
      <c r="M42" s="11" t="s">
        <v>82</v>
      </c>
      <c r="N42" s="9" t="s">
        <v>74</v>
      </c>
      <c r="O42" s="9" t="s">
        <v>358</v>
      </c>
      <c r="P42" s="9"/>
    </row>
    <row r="43" customFormat="false" ht="23.85" hidden="false" customHeight="false" outlineLevel="0" collapsed="false">
      <c r="A43" s="9" t="s">
        <v>359</v>
      </c>
      <c r="B43" s="9" t="s">
        <v>64</v>
      </c>
      <c r="C43" s="9" t="s">
        <v>65</v>
      </c>
      <c r="D43" s="9" t="s">
        <v>66</v>
      </c>
      <c r="E43" s="9" t="s">
        <v>129</v>
      </c>
      <c r="F43" s="9" t="s">
        <v>360</v>
      </c>
      <c r="G43" s="9" t="s">
        <v>361</v>
      </c>
      <c r="H43" s="9" t="s">
        <v>362</v>
      </c>
      <c r="I43" s="9" t="s">
        <v>363</v>
      </c>
      <c r="J43" s="9" t="s">
        <v>364</v>
      </c>
      <c r="K43" s="9"/>
      <c r="L43" s="9"/>
      <c r="M43" s="11" t="s">
        <v>82</v>
      </c>
      <c r="N43" s="9" t="s">
        <v>74</v>
      </c>
      <c r="O43" s="9" t="s">
        <v>365</v>
      </c>
      <c r="P43" s="9"/>
    </row>
    <row r="44" customFormat="false" ht="23.85" hidden="false" customHeight="false" outlineLevel="0" collapsed="false">
      <c r="A44" s="9" t="s">
        <v>366</v>
      </c>
      <c r="B44" s="9" t="s">
        <v>64</v>
      </c>
      <c r="C44" s="9" t="s">
        <v>65</v>
      </c>
      <c r="D44" s="9" t="s">
        <v>66</v>
      </c>
      <c r="E44" s="9" t="s">
        <v>85</v>
      </c>
      <c r="F44" s="9" t="s">
        <v>367</v>
      </c>
      <c r="G44" s="9" t="s">
        <v>368</v>
      </c>
      <c r="H44" s="9" t="s">
        <v>369</v>
      </c>
      <c r="I44" s="9" t="s">
        <v>370</v>
      </c>
      <c r="J44" s="9" t="s">
        <v>371</v>
      </c>
      <c r="K44" s="9"/>
      <c r="L44" s="9"/>
      <c r="M44" s="11" t="s">
        <v>73</v>
      </c>
      <c r="N44" s="9" t="s">
        <v>74</v>
      </c>
      <c r="O44" s="9" t="s">
        <v>372</v>
      </c>
      <c r="P44" s="9"/>
    </row>
    <row r="45" customFormat="false" ht="23.85" hidden="false" customHeight="false" outlineLevel="0" collapsed="false">
      <c r="A45" s="9" t="s">
        <v>373</v>
      </c>
      <c r="B45" s="9" t="s">
        <v>64</v>
      </c>
      <c r="C45" s="9" t="s">
        <v>65</v>
      </c>
      <c r="D45" s="9" t="s">
        <v>66</v>
      </c>
      <c r="E45" s="9" t="s">
        <v>129</v>
      </c>
      <c r="F45" s="9" t="s">
        <v>374</v>
      </c>
      <c r="G45" s="9" t="s">
        <v>375</v>
      </c>
      <c r="H45" s="9" t="s">
        <v>376</v>
      </c>
      <c r="I45" s="9" t="s">
        <v>377</v>
      </c>
      <c r="J45" s="9" t="s">
        <v>378</v>
      </c>
      <c r="K45" s="9"/>
      <c r="L45" s="9"/>
      <c r="M45" s="11" t="s">
        <v>64</v>
      </c>
      <c r="N45" s="9" t="s">
        <v>74</v>
      </c>
      <c r="O45" s="9" t="s">
        <v>379</v>
      </c>
      <c r="P45" s="9"/>
    </row>
    <row r="46" customFormat="false" ht="23.85" hidden="false" customHeight="false" outlineLevel="0" collapsed="false">
      <c r="A46" s="9" t="s">
        <v>380</v>
      </c>
      <c r="B46" s="9" t="s">
        <v>64</v>
      </c>
      <c r="C46" s="9" t="s">
        <v>65</v>
      </c>
      <c r="D46" s="9" t="s">
        <v>66</v>
      </c>
      <c r="E46" s="9" t="s">
        <v>85</v>
      </c>
      <c r="F46" s="9" t="s">
        <v>381</v>
      </c>
      <c r="G46" s="9" t="s">
        <v>382</v>
      </c>
      <c r="H46" s="9" t="s">
        <v>383</v>
      </c>
      <c r="I46" s="9" t="s">
        <v>384</v>
      </c>
      <c r="J46" s="9" t="s">
        <v>385</v>
      </c>
      <c r="K46" s="9"/>
      <c r="L46" s="9"/>
      <c r="M46" s="11" t="s">
        <v>64</v>
      </c>
      <c r="N46" s="9" t="s">
        <v>74</v>
      </c>
      <c r="O46" s="9" t="s">
        <v>386</v>
      </c>
      <c r="P46" s="9"/>
    </row>
    <row r="47" customFormat="false" ht="35.05" hidden="false" customHeight="false" outlineLevel="0" collapsed="false">
      <c r="A47" s="9" t="s">
        <v>387</v>
      </c>
      <c r="B47" s="9" t="s">
        <v>64</v>
      </c>
      <c r="C47" s="9" t="s">
        <v>65</v>
      </c>
      <c r="D47" s="9" t="s">
        <v>66</v>
      </c>
      <c r="E47" s="9" t="s">
        <v>129</v>
      </c>
      <c r="F47" s="9" t="s">
        <v>388</v>
      </c>
      <c r="G47" s="9" t="s">
        <v>389</v>
      </c>
      <c r="H47" s="9" t="s">
        <v>390</v>
      </c>
      <c r="I47" s="9" t="s">
        <v>391</v>
      </c>
      <c r="J47" s="9" t="s">
        <v>392</v>
      </c>
      <c r="K47" s="9"/>
      <c r="L47" s="9"/>
      <c r="M47" s="11" t="s">
        <v>64</v>
      </c>
      <c r="N47" s="9" t="s">
        <v>74</v>
      </c>
      <c r="O47" s="9" t="s">
        <v>393</v>
      </c>
      <c r="P47" s="9"/>
    </row>
    <row r="48" customFormat="false" ht="15" hidden="false" customHeight="false" outlineLevel="0" collapsed="false">
      <c r="A48" s="9" t="s">
        <v>394</v>
      </c>
      <c r="B48" s="9" t="s">
        <v>64</v>
      </c>
      <c r="C48" s="9" t="s">
        <v>65</v>
      </c>
      <c r="D48" s="9" t="s">
        <v>66</v>
      </c>
      <c r="E48" s="9" t="s">
        <v>67</v>
      </c>
      <c r="F48" s="9" t="s">
        <v>395</v>
      </c>
      <c r="G48" s="9" t="s">
        <v>396</v>
      </c>
      <c r="H48" s="9" t="s">
        <v>397</v>
      </c>
      <c r="I48" s="9" t="s">
        <v>398</v>
      </c>
      <c r="J48" s="9" t="s">
        <v>399</v>
      </c>
      <c r="K48" s="9"/>
      <c r="L48" s="9"/>
      <c r="M48" s="11" t="s">
        <v>82</v>
      </c>
      <c r="N48" s="9" t="s">
        <v>74</v>
      </c>
      <c r="O48" s="9" t="s">
        <v>400</v>
      </c>
      <c r="P48" s="9"/>
    </row>
    <row r="49" customFormat="false" ht="23.85" hidden="false" customHeight="false" outlineLevel="0" collapsed="false">
      <c r="A49" s="9" t="s">
        <v>401</v>
      </c>
      <c r="B49" s="9" t="s">
        <v>64</v>
      </c>
      <c r="C49" s="9" t="s">
        <v>65</v>
      </c>
      <c r="D49" s="9" t="s">
        <v>66</v>
      </c>
      <c r="E49" s="9" t="s">
        <v>85</v>
      </c>
      <c r="F49" s="9" t="s">
        <v>402</v>
      </c>
      <c r="G49" s="9" t="s">
        <v>403</v>
      </c>
      <c r="H49" s="9" t="s">
        <v>404</v>
      </c>
      <c r="I49" s="9" t="s">
        <v>405</v>
      </c>
      <c r="J49" s="9" t="s">
        <v>406</v>
      </c>
      <c r="K49" s="9"/>
      <c r="L49" s="9"/>
      <c r="M49" s="11" t="s">
        <v>82</v>
      </c>
      <c r="N49" s="9" t="s">
        <v>74</v>
      </c>
      <c r="O49" s="9" t="s">
        <v>407</v>
      </c>
      <c r="P49" s="9"/>
    </row>
    <row r="50" customFormat="false" ht="23.85" hidden="false" customHeight="false" outlineLevel="0" collapsed="false">
      <c r="A50" s="9" t="s">
        <v>408</v>
      </c>
      <c r="B50" s="9" t="s">
        <v>64</v>
      </c>
      <c r="C50" s="9" t="s">
        <v>65</v>
      </c>
      <c r="D50" s="9" t="s">
        <v>66</v>
      </c>
      <c r="E50" s="9" t="s">
        <v>85</v>
      </c>
      <c r="F50" s="9" t="s">
        <v>409</v>
      </c>
      <c r="G50" s="9" t="s">
        <v>410</v>
      </c>
      <c r="H50" s="9" t="s">
        <v>411</v>
      </c>
      <c r="I50" s="9" t="s">
        <v>412</v>
      </c>
      <c r="J50" s="9" t="s">
        <v>413</v>
      </c>
      <c r="K50" s="9"/>
      <c r="L50" s="9"/>
      <c r="M50" s="11" t="s">
        <v>98</v>
      </c>
      <c r="N50" s="9" t="s">
        <v>74</v>
      </c>
      <c r="O50" s="9" t="s">
        <v>414</v>
      </c>
      <c r="P50" s="9"/>
    </row>
    <row r="51" customFormat="false" ht="35.05" hidden="false" customHeight="false" outlineLevel="0" collapsed="false">
      <c r="A51" s="9" t="s">
        <v>415</v>
      </c>
      <c r="B51" s="9" t="s">
        <v>64</v>
      </c>
      <c r="C51" s="9" t="s">
        <v>65</v>
      </c>
      <c r="D51" s="9" t="s">
        <v>66</v>
      </c>
      <c r="E51" s="9" t="s">
        <v>129</v>
      </c>
      <c r="F51" s="9" t="s">
        <v>416</v>
      </c>
      <c r="G51" s="9" t="s">
        <v>417</v>
      </c>
      <c r="H51" s="9" t="s">
        <v>418</v>
      </c>
      <c r="I51" s="9" t="s">
        <v>350</v>
      </c>
      <c r="J51" s="9" t="s">
        <v>419</v>
      </c>
      <c r="K51" s="9"/>
      <c r="L51" s="9"/>
      <c r="M51" s="11" t="s">
        <v>64</v>
      </c>
      <c r="N51" s="9" t="s">
        <v>74</v>
      </c>
      <c r="O51" s="9" t="s">
        <v>420</v>
      </c>
      <c r="P51" s="9"/>
    </row>
    <row r="52" customFormat="false" ht="23.85" hidden="false" customHeight="false" outlineLevel="0" collapsed="false">
      <c r="A52" s="9" t="s">
        <v>421</v>
      </c>
      <c r="B52" s="9" t="s">
        <v>64</v>
      </c>
      <c r="C52" s="9" t="s">
        <v>65</v>
      </c>
      <c r="D52" s="9" t="s">
        <v>66</v>
      </c>
      <c r="E52" s="9" t="s">
        <v>85</v>
      </c>
      <c r="F52" s="9" t="s">
        <v>422</v>
      </c>
      <c r="G52" s="9" t="s">
        <v>423</v>
      </c>
      <c r="H52" s="9" t="s">
        <v>424</v>
      </c>
      <c r="I52" s="9" t="s">
        <v>425</v>
      </c>
      <c r="J52" s="9" t="s">
        <v>426</v>
      </c>
      <c r="K52" s="9"/>
      <c r="L52" s="9"/>
      <c r="M52" s="11" t="s">
        <v>98</v>
      </c>
      <c r="N52" s="9" t="s">
        <v>74</v>
      </c>
      <c r="O52" s="9" t="s">
        <v>427</v>
      </c>
      <c r="P52" s="9"/>
    </row>
    <row r="53" customFormat="false" ht="35.05" hidden="false" customHeight="false" outlineLevel="0" collapsed="false">
      <c r="A53" s="9" t="s">
        <v>428</v>
      </c>
      <c r="B53" s="9" t="s">
        <v>64</v>
      </c>
      <c r="C53" s="9" t="s">
        <v>65</v>
      </c>
      <c r="D53" s="9" t="s">
        <v>66</v>
      </c>
      <c r="E53" s="9" t="s">
        <v>129</v>
      </c>
      <c r="F53" s="9" t="s">
        <v>429</v>
      </c>
      <c r="G53" s="9" t="s">
        <v>430</v>
      </c>
      <c r="H53" s="9" t="s">
        <v>431</v>
      </c>
      <c r="I53" s="9" t="s">
        <v>432</v>
      </c>
      <c r="J53" s="9" t="s">
        <v>433</v>
      </c>
      <c r="K53" s="9"/>
      <c r="L53" s="9"/>
      <c r="M53" s="11" t="s">
        <v>64</v>
      </c>
      <c r="N53" s="9" t="s">
        <v>74</v>
      </c>
      <c r="O53" s="9" t="s">
        <v>434</v>
      </c>
      <c r="P53" s="9"/>
    </row>
    <row r="54" customFormat="false" ht="23.85" hidden="false" customHeight="false" outlineLevel="0" collapsed="false">
      <c r="A54" s="9" t="s">
        <v>435</v>
      </c>
      <c r="B54" s="9" t="s">
        <v>64</v>
      </c>
      <c r="C54" s="9" t="s">
        <v>65</v>
      </c>
      <c r="D54" s="9" t="s">
        <v>66</v>
      </c>
      <c r="E54" s="9" t="s">
        <v>85</v>
      </c>
      <c r="F54" s="9" t="s">
        <v>436</v>
      </c>
      <c r="G54" s="9" t="s">
        <v>437</v>
      </c>
      <c r="H54" s="9" t="s">
        <v>385</v>
      </c>
      <c r="I54" s="9" t="s">
        <v>438</v>
      </c>
      <c r="J54" s="9" t="s">
        <v>252</v>
      </c>
      <c r="K54" s="9"/>
      <c r="L54" s="9"/>
      <c r="M54" s="11" t="s">
        <v>64</v>
      </c>
      <c r="N54" s="9" t="s">
        <v>74</v>
      </c>
      <c r="O54" s="9" t="s">
        <v>439</v>
      </c>
      <c r="P54" s="9"/>
    </row>
    <row r="55" customFormat="false" ht="23.85" hidden="false" customHeight="false" outlineLevel="0" collapsed="false">
      <c r="A55" s="9" t="s">
        <v>440</v>
      </c>
      <c r="B55" s="9" t="s">
        <v>64</v>
      </c>
      <c r="C55" s="9" t="s">
        <v>65</v>
      </c>
      <c r="D55" s="9" t="s">
        <v>66</v>
      </c>
      <c r="E55" s="9" t="s">
        <v>85</v>
      </c>
      <c r="F55" s="9" t="s">
        <v>441</v>
      </c>
      <c r="G55" s="9" t="s">
        <v>442</v>
      </c>
      <c r="H55" s="9" t="s">
        <v>443</v>
      </c>
      <c r="I55" s="9" t="s">
        <v>286</v>
      </c>
      <c r="J55" s="9" t="s">
        <v>444</v>
      </c>
      <c r="K55" s="9"/>
      <c r="L55" s="9"/>
      <c r="M55" s="11" t="s">
        <v>64</v>
      </c>
      <c r="N55" s="9" t="s">
        <v>74</v>
      </c>
      <c r="O55" s="9" t="s">
        <v>445</v>
      </c>
      <c r="P55" s="9"/>
    </row>
    <row r="56" customFormat="false" ht="15" hidden="false" customHeight="false" outlineLevel="0" collapsed="false">
      <c r="A56" s="9" t="s">
        <v>446</v>
      </c>
      <c r="B56" s="9" t="s">
        <v>64</v>
      </c>
      <c r="C56" s="9" t="s">
        <v>65</v>
      </c>
      <c r="D56" s="9" t="s">
        <v>66</v>
      </c>
      <c r="E56" s="9" t="s">
        <v>129</v>
      </c>
      <c r="F56" s="9" t="s">
        <v>447</v>
      </c>
      <c r="G56" s="9" t="s">
        <v>224</v>
      </c>
      <c r="H56" s="9" t="s">
        <v>448</v>
      </c>
      <c r="I56" s="9" t="s">
        <v>449</v>
      </c>
      <c r="J56" s="9" t="s">
        <v>450</v>
      </c>
      <c r="K56" s="9"/>
      <c r="L56" s="9"/>
      <c r="M56" s="11" t="s">
        <v>73</v>
      </c>
      <c r="N56" s="9" t="s">
        <v>74</v>
      </c>
      <c r="O56" s="9" t="s">
        <v>451</v>
      </c>
      <c r="P56" s="9"/>
    </row>
    <row r="57" customFormat="false" ht="35.05" hidden="false" customHeight="false" outlineLevel="0" collapsed="false">
      <c r="A57" s="9" t="s">
        <v>452</v>
      </c>
      <c r="B57" s="9" t="s">
        <v>64</v>
      </c>
      <c r="C57" s="9" t="s">
        <v>65</v>
      </c>
      <c r="D57" s="9" t="s">
        <v>66</v>
      </c>
      <c r="E57" s="9" t="s">
        <v>85</v>
      </c>
      <c r="F57" s="9" t="s">
        <v>453</v>
      </c>
      <c r="G57" s="9" t="s">
        <v>454</v>
      </c>
      <c r="H57" s="9" t="s">
        <v>455</v>
      </c>
      <c r="I57" s="9" t="s">
        <v>207</v>
      </c>
      <c r="J57" s="9" t="s">
        <v>456</v>
      </c>
      <c r="K57" s="9"/>
      <c r="L57" s="9"/>
      <c r="M57" s="11" t="s">
        <v>64</v>
      </c>
      <c r="N57" s="9" t="s">
        <v>74</v>
      </c>
      <c r="O57" s="9" t="s">
        <v>457</v>
      </c>
      <c r="P57" s="9"/>
    </row>
    <row r="58" customFormat="false" ht="23.85" hidden="false" customHeight="false" outlineLevel="0" collapsed="false">
      <c r="A58" s="9" t="s">
        <v>458</v>
      </c>
      <c r="B58" s="9" t="s">
        <v>64</v>
      </c>
      <c r="C58" s="9" t="s">
        <v>65</v>
      </c>
      <c r="D58" s="9" t="s">
        <v>66</v>
      </c>
      <c r="E58" s="9" t="s">
        <v>85</v>
      </c>
      <c r="F58" s="9" t="s">
        <v>459</v>
      </c>
      <c r="G58" s="9" t="s">
        <v>460</v>
      </c>
      <c r="H58" s="9" t="s">
        <v>461</v>
      </c>
      <c r="I58" s="9" t="s">
        <v>462</v>
      </c>
      <c r="J58" s="9" t="s">
        <v>463</v>
      </c>
      <c r="K58" s="9"/>
      <c r="L58" s="9"/>
      <c r="M58" s="11" t="s">
        <v>82</v>
      </c>
      <c r="N58" s="9" t="s">
        <v>74</v>
      </c>
      <c r="O58" s="9" t="s">
        <v>464</v>
      </c>
      <c r="P58" s="9"/>
    </row>
    <row r="59" customFormat="false" ht="23.85" hidden="false" customHeight="false" outlineLevel="0" collapsed="false">
      <c r="A59" s="9" t="s">
        <v>465</v>
      </c>
      <c r="B59" s="9" t="s">
        <v>64</v>
      </c>
      <c r="C59" s="9" t="s">
        <v>65</v>
      </c>
      <c r="D59" s="9" t="s">
        <v>66</v>
      </c>
      <c r="E59" s="9" t="s">
        <v>85</v>
      </c>
      <c r="F59" s="9" t="s">
        <v>466</v>
      </c>
      <c r="G59" s="9" t="s">
        <v>467</v>
      </c>
      <c r="H59" s="9" t="s">
        <v>468</v>
      </c>
      <c r="I59" s="9" t="s">
        <v>469</v>
      </c>
      <c r="J59" s="9" t="s">
        <v>470</v>
      </c>
      <c r="K59" s="9"/>
      <c r="L59" s="9"/>
      <c r="M59" s="11" t="s">
        <v>82</v>
      </c>
      <c r="N59" s="9" t="s">
        <v>74</v>
      </c>
      <c r="O59" s="9" t="s">
        <v>471</v>
      </c>
      <c r="P59" s="9"/>
    </row>
    <row r="60" customFormat="false" ht="23.85" hidden="false" customHeight="false" outlineLevel="0" collapsed="false">
      <c r="A60" s="9" t="s">
        <v>472</v>
      </c>
      <c r="B60" s="9" t="s">
        <v>64</v>
      </c>
      <c r="C60" s="9" t="s">
        <v>65</v>
      </c>
      <c r="D60" s="9" t="s">
        <v>66</v>
      </c>
      <c r="E60" s="9" t="s">
        <v>129</v>
      </c>
      <c r="F60" s="9" t="s">
        <v>473</v>
      </c>
      <c r="G60" s="9" t="s">
        <v>474</v>
      </c>
      <c r="H60" s="9" t="s">
        <v>475</v>
      </c>
      <c r="I60" s="9" t="s">
        <v>476</v>
      </c>
      <c r="J60" s="9" t="s">
        <v>477</v>
      </c>
      <c r="K60" s="9"/>
      <c r="L60" s="9"/>
      <c r="M60" s="11" t="s">
        <v>82</v>
      </c>
      <c r="N60" s="9" t="s">
        <v>74</v>
      </c>
      <c r="O60" s="9" t="s">
        <v>478</v>
      </c>
      <c r="P60" s="9"/>
    </row>
    <row r="61" customFormat="false" ht="23.85" hidden="false" customHeight="false" outlineLevel="0" collapsed="false">
      <c r="A61" s="9" t="s">
        <v>479</v>
      </c>
      <c r="B61" s="9" t="s">
        <v>64</v>
      </c>
      <c r="C61" s="9" t="s">
        <v>65</v>
      </c>
      <c r="D61" s="9" t="s">
        <v>66</v>
      </c>
      <c r="E61" s="9" t="s">
        <v>85</v>
      </c>
      <c r="F61" s="9" t="s">
        <v>480</v>
      </c>
      <c r="G61" s="9" t="s">
        <v>481</v>
      </c>
      <c r="H61" s="9" t="s">
        <v>482</v>
      </c>
      <c r="I61" s="9" t="s">
        <v>483</v>
      </c>
      <c r="J61" s="9" t="s">
        <v>484</v>
      </c>
      <c r="K61" s="9"/>
      <c r="L61" s="9"/>
      <c r="M61" s="11" t="s">
        <v>73</v>
      </c>
      <c r="N61" s="9" t="s">
        <v>74</v>
      </c>
      <c r="O61" s="9" t="s">
        <v>485</v>
      </c>
      <c r="P61" s="9"/>
    </row>
    <row r="62" customFormat="false" ht="23.85" hidden="false" customHeight="false" outlineLevel="0" collapsed="false">
      <c r="A62" s="9" t="s">
        <v>486</v>
      </c>
      <c r="B62" s="9" t="s">
        <v>64</v>
      </c>
      <c r="C62" s="9" t="s">
        <v>65</v>
      </c>
      <c r="D62" s="9" t="s">
        <v>66</v>
      </c>
      <c r="E62" s="9" t="s">
        <v>129</v>
      </c>
      <c r="F62" s="9" t="s">
        <v>487</v>
      </c>
      <c r="G62" s="9" t="s">
        <v>488</v>
      </c>
      <c r="H62" s="9" t="s">
        <v>489</v>
      </c>
      <c r="I62" s="9" t="s">
        <v>490</v>
      </c>
      <c r="J62" s="9" t="s">
        <v>491</v>
      </c>
      <c r="K62" s="9"/>
      <c r="L62" s="9"/>
      <c r="M62" s="11" t="s">
        <v>98</v>
      </c>
      <c r="N62" s="9" t="s">
        <v>74</v>
      </c>
      <c r="O62" s="9" t="s">
        <v>492</v>
      </c>
      <c r="P62" s="9"/>
    </row>
    <row r="63" customFormat="false" ht="23.85" hidden="false" customHeight="false" outlineLevel="0" collapsed="false">
      <c r="A63" s="9" t="s">
        <v>493</v>
      </c>
      <c r="B63" s="9" t="s">
        <v>64</v>
      </c>
      <c r="C63" s="9" t="s">
        <v>65</v>
      </c>
      <c r="D63" s="9" t="s">
        <v>66</v>
      </c>
      <c r="E63" s="9" t="s">
        <v>85</v>
      </c>
      <c r="F63" s="9" t="s">
        <v>494</v>
      </c>
      <c r="G63" s="9" t="s">
        <v>495</v>
      </c>
      <c r="H63" s="9" t="s">
        <v>496</v>
      </c>
      <c r="I63" s="9" t="s">
        <v>497</v>
      </c>
      <c r="J63" s="9" t="s">
        <v>333</v>
      </c>
      <c r="K63" s="9"/>
      <c r="L63" s="9"/>
      <c r="M63" s="11" t="s">
        <v>64</v>
      </c>
      <c r="N63" s="9" t="s">
        <v>74</v>
      </c>
      <c r="O63" s="9" t="s">
        <v>498</v>
      </c>
      <c r="P63" s="9"/>
    </row>
    <row r="64" customFormat="false" ht="23.85" hidden="false" customHeight="false" outlineLevel="0" collapsed="false">
      <c r="A64" s="9" t="s">
        <v>499</v>
      </c>
      <c r="B64" s="9" t="s">
        <v>64</v>
      </c>
      <c r="C64" s="9" t="s">
        <v>65</v>
      </c>
      <c r="D64" s="9" t="s">
        <v>66</v>
      </c>
      <c r="E64" s="9" t="s">
        <v>85</v>
      </c>
      <c r="F64" s="9" t="s">
        <v>500</v>
      </c>
      <c r="G64" s="9" t="s">
        <v>501</v>
      </c>
      <c r="H64" s="9" t="s">
        <v>502</v>
      </c>
      <c r="I64" s="9" t="s">
        <v>503</v>
      </c>
      <c r="J64" s="9" t="s">
        <v>504</v>
      </c>
      <c r="K64" s="9"/>
      <c r="L64" s="9"/>
      <c r="M64" s="11" t="s">
        <v>98</v>
      </c>
      <c r="N64" s="9" t="s">
        <v>74</v>
      </c>
      <c r="O64" s="9" t="s">
        <v>505</v>
      </c>
      <c r="P64" s="9"/>
    </row>
    <row r="65" customFormat="false" ht="35.05" hidden="false" customHeight="false" outlineLevel="0" collapsed="false">
      <c r="A65" s="9" t="s">
        <v>506</v>
      </c>
      <c r="B65" s="9" t="s">
        <v>64</v>
      </c>
      <c r="C65" s="9" t="s">
        <v>65</v>
      </c>
      <c r="D65" s="9" t="s">
        <v>66</v>
      </c>
      <c r="E65" s="9" t="s">
        <v>129</v>
      </c>
      <c r="F65" s="9" t="s">
        <v>507</v>
      </c>
      <c r="G65" s="9" t="s">
        <v>508</v>
      </c>
      <c r="H65" s="9" t="s">
        <v>509</v>
      </c>
      <c r="I65" s="9" t="s">
        <v>510</v>
      </c>
      <c r="J65" s="9" t="s">
        <v>511</v>
      </c>
      <c r="K65" s="9"/>
      <c r="L65" s="9"/>
      <c r="M65" s="11" t="s">
        <v>98</v>
      </c>
      <c r="N65" s="9" t="s">
        <v>74</v>
      </c>
      <c r="O65" s="9" t="s">
        <v>512</v>
      </c>
      <c r="P65" s="9"/>
    </row>
    <row r="66" customFormat="false" ht="15" hidden="false" customHeight="false" outlineLevel="0" collapsed="false">
      <c r="A66" s="9" t="s">
        <v>513</v>
      </c>
      <c r="B66" s="9" t="s">
        <v>64</v>
      </c>
      <c r="C66" s="9" t="s">
        <v>65</v>
      </c>
      <c r="D66" s="9" t="s">
        <v>66</v>
      </c>
      <c r="E66" s="9" t="s">
        <v>67</v>
      </c>
      <c r="F66" s="9" t="s">
        <v>514</v>
      </c>
      <c r="G66" s="9" t="s">
        <v>348</v>
      </c>
      <c r="H66" s="9" t="s">
        <v>419</v>
      </c>
      <c r="I66" s="9" t="s">
        <v>515</v>
      </c>
      <c r="J66" s="9" t="s">
        <v>350</v>
      </c>
      <c r="K66" s="9"/>
      <c r="L66" s="9"/>
      <c r="M66" s="11" t="s">
        <v>82</v>
      </c>
      <c r="N66" s="9" t="s">
        <v>74</v>
      </c>
      <c r="O66" s="9" t="s">
        <v>516</v>
      </c>
      <c r="P66" s="9"/>
    </row>
    <row r="67" customFormat="false" ht="23.85" hidden="false" customHeight="false" outlineLevel="0" collapsed="false">
      <c r="A67" s="9" t="s">
        <v>517</v>
      </c>
      <c r="B67" s="9" t="s">
        <v>64</v>
      </c>
      <c r="C67" s="9" t="s">
        <v>65</v>
      </c>
      <c r="D67" s="9" t="s">
        <v>66</v>
      </c>
      <c r="E67" s="9" t="s">
        <v>85</v>
      </c>
      <c r="F67" s="9" t="s">
        <v>518</v>
      </c>
      <c r="G67" s="9" t="s">
        <v>519</v>
      </c>
      <c r="H67" s="9" t="s">
        <v>520</v>
      </c>
      <c r="I67" s="9" t="s">
        <v>521</v>
      </c>
      <c r="J67" s="9" t="s">
        <v>522</v>
      </c>
      <c r="K67" s="9"/>
      <c r="L67" s="9"/>
      <c r="M67" s="11" t="s">
        <v>82</v>
      </c>
      <c r="N67" s="9" t="s">
        <v>74</v>
      </c>
      <c r="O67" s="9" t="s">
        <v>523</v>
      </c>
      <c r="P67" s="9"/>
    </row>
    <row r="68" customFormat="false" ht="23.85" hidden="false" customHeight="false" outlineLevel="0" collapsed="false">
      <c r="A68" s="9" t="s">
        <v>524</v>
      </c>
      <c r="B68" s="9" t="s">
        <v>64</v>
      </c>
      <c r="C68" s="9" t="s">
        <v>65</v>
      </c>
      <c r="D68" s="9" t="s">
        <v>66</v>
      </c>
      <c r="E68" s="9" t="s">
        <v>85</v>
      </c>
      <c r="F68" s="9" t="s">
        <v>525</v>
      </c>
      <c r="G68" s="9" t="s">
        <v>526</v>
      </c>
      <c r="H68" s="9" t="s">
        <v>527</v>
      </c>
      <c r="I68" s="9" t="s">
        <v>528</v>
      </c>
      <c r="J68" s="9" t="s">
        <v>529</v>
      </c>
      <c r="K68" s="9"/>
      <c r="L68" s="9"/>
      <c r="M68" s="11" t="s">
        <v>98</v>
      </c>
      <c r="N68" s="9" t="s">
        <v>74</v>
      </c>
      <c r="O68" s="9" t="s">
        <v>530</v>
      </c>
      <c r="P68" s="9"/>
    </row>
    <row r="69" customFormat="false" ht="23.85" hidden="false" customHeight="false" outlineLevel="0" collapsed="false">
      <c r="A69" s="9" t="s">
        <v>531</v>
      </c>
      <c r="B69" s="9" t="s">
        <v>64</v>
      </c>
      <c r="C69" s="9" t="s">
        <v>65</v>
      </c>
      <c r="D69" s="9" t="s">
        <v>66</v>
      </c>
      <c r="E69" s="9" t="s">
        <v>85</v>
      </c>
      <c r="F69" s="9" t="s">
        <v>532</v>
      </c>
      <c r="G69" s="9" t="s">
        <v>533</v>
      </c>
      <c r="H69" s="9" t="s">
        <v>534</v>
      </c>
      <c r="I69" s="9" t="s">
        <v>535</v>
      </c>
      <c r="J69" s="9" t="s">
        <v>536</v>
      </c>
      <c r="K69" s="9"/>
      <c r="L69" s="9"/>
      <c r="M69" s="11" t="s">
        <v>98</v>
      </c>
      <c r="N69" s="9" t="s">
        <v>74</v>
      </c>
      <c r="O69" s="9" t="s">
        <v>537</v>
      </c>
      <c r="P69" s="9"/>
    </row>
    <row r="70" customFormat="false" ht="23.85" hidden="false" customHeight="false" outlineLevel="0" collapsed="false">
      <c r="A70" s="9" t="s">
        <v>538</v>
      </c>
      <c r="B70" s="9" t="s">
        <v>64</v>
      </c>
      <c r="C70" s="9" t="s">
        <v>65</v>
      </c>
      <c r="D70" s="9" t="s">
        <v>66</v>
      </c>
      <c r="E70" s="9" t="s">
        <v>129</v>
      </c>
      <c r="F70" s="9" t="s">
        <v>539</v>
      </c>
      <c r="G70" s="9" t="s">
        <v>540</v>
      </c>
      <c r="H70" s="9" t="s">
        <v>348</v>
      </c>
      <c r="I70" s="9" t="s">
        <v>224</v>
      </c>
      <c r="J70" s="9" t="s">
        <v>541</v>
      </c>
      <c r="K70" s="9"/>
      <c r="L70" s="9"/>
      <c r="M70" s="11" t="s">
        <v>73</v>
      </c>
      <c r="N70" s="9" t="s">
        <v>74</v>
      </c>
      <c r="O70" s="9" t="s">
        <v>542</v>
      </c>
      <c r="P70" s="9"/>
    </row>
    <row r="71" customFormat="false" ht="23.85" hidden="false" customHeight="false" outlineLevel="0" collapsed="false">
      <c r="A71" s="9" t="s">
        <v>543</v>
      </c>
      <c r="B71" s="9" t="s">
        <v>64</v>
      </c>
      <c r="C71" s="9" t="s">
        <v>65</v>
      </c>
      <c r="D71" s="9" t="s">
        <v>66</v>
      </c>
      <c r="E71" s="9" t="s">
        <v>85</v>
      </c>
      <c r="F71" s="9" t="s">
        <v>544</v>
      </c>
      <c r="G71" s="9" t="s">
        <v>545</v>
      </c>
      <c r="H71" s="9" t="s">
        <v>546</v>
      </c>
      <c r="I71" s="9" t="s">
        <v>547</v>
      </c>
      <c r="J71" s="9" t="s">
        <v>548</v>
      </c>
      <c r="K71" s="9"/>
      <c r="L71" s="9"/>
      <c r="M71" s="11" t="s">
        <v>98</v>
      </c>
      <c r="N71" s="9" t="s">
        <v>74</v>
      </c>
      <c r="O71" s="9" t="s">
        <v>549</v>
      </c>
      <c r="P71" s="9"/>
    </row>
    <row r="72" customFormat="false" ht="23.85" hidden="false" customHeight="false" outlineLevel="0" collapsed="false">
      <c r="A72" s="9" t="s">
        <v>550</v>
      </c>
      <c r="B72" s="9" t="s">
        <v>64</v>
      </c>
      <c r="C72" s="9" t="s">
        <v>65</v>
      </c>
      <c r="D72" s="9" t="s">
        <v>66</v>
      </c>
      <c r="E72" s="9" t="s">
        <v>85</v>
      </c>
      <c r="F72" s="9" t="s">
        <v>551</v>
      </c>
      <c r="G72" s="9" t="s">
        <v>552</v>
      </c>
      <c r="H72" s="9" t="s">
        <v>474</v>
      </c>
      <c r="I72" s="9" t="s">
        <v>553</v>
      </c>
      <c r="J72" s="9" t="s">
        <v>554</v>
      </c>
      <c r="K72" s="9"/>
      <c r="L72" s="9"/>
      <c r="M72" s="11" t="s">
        <v>73</v>
      </c>
      <c r="N72" s="9" t="s">
        <v>74</v>
      </c>
      <c r="O72" s="9" t="s">
        <v>555</v>
      </c>
      <c r="P72" s="9"/>
    </row>
    <row r="73" customFormat="false" ht="23.85" hidden="false" customHeight="false" outlineLevel="0" collapsed="false">
      <c r="A73" s="9" t="s">
        <v>556</v>
      </c>
      <c r="B73" s="9" t="s">
        <v>64</v>
      </c>
      <c r="C73" s="9" t="s">
        <v>65</v>
      </c>
      <c r="D73" s="9" t="s">
        <v>66</v>
      </c>
      <c r="E73" s="9" t="s">
        <v>85</v>
      </c>
      <c r="F73" s="9" t="s">
        <v>557</v>
      </c>
      <c r="G73" s="9" t="s">
        <v>558</v>
      </c>
      <c r="H73" s="9" t="s">
        <v>559</v>
      </c>
      <c r="I73" s="9" t="s">
        <v>560</v>
      </c>
      <c r="J73" s="9" t="s">
        <v>561</v>
      </c>
      <c r="K73" s="9"/>
      <c r="L73" s="9"/>
      <c r="M73" s="11" t="s">
        <v>98</v>
      </c>
      <c r="N73" s="9" t="s">
        <v>74</v>
      </c>
      <c r="O73" s="9" t="s">
        <v>562</v>
      </c>
      <c r="P73" s="9"/>
    </row>
    <row r="74" customFormat="false" ht="23.85" hidden="false" customHeight="false" outlineLevel="0" collapsed="false">
      <c r="A74" s="9" t="s">
        <v>563</v>
      </c>
      <c r="B74" s="9" t="s">
        <v>64</v>
      </c>
      <c r="C74" s="9" t="s">
        <v>65</v>
      </c>
      <c r="D74" s="9" t="s">
        <v>66</v>
      </c>
      <c r="E74" s="9" t="s">
        <v>129</v>
      </c>
      <c r="F74" s="9" t="s">
        <v>564</v>
      </c>
      <c r="G74" s="9" t="s">
        <v>496</v>
      </c>
      <c r="H74" s="9" t="s">
        <v>565</v>
      </c>
      <c r="I74" s="9" t="s">
        <v>566</v>
      </c>
      <c r="J74" s="9" t="s">
        <v>567</v>
      </c>
      <c r="K74" s="9"/>
      <c r="L74" s="9"/>
      <c r="M74" s="11" t="s">
        <v>82</v>
      </c>
      <c r="N74" s="9" t="s">
        <v>74</v>
      </c>
      <c r="O74" s="9" t="s">
        <v>568</v>
      </c>
      <c r="P74" s="9"/>
    </row>
    <row r="75" customFormat="false" ht="23.85" hidden="false" customHeight="false" outlineLevel="0" collapsed="false">
      <c r="A75" s="9" t="s">
        <v>569</v>
      </c>
      <c r="B75" s="9" t="s">
        <v>64</v>
      </c>
      <c r="C75" s="9" t="s">
        <v>65</v>
      </c>
      <c r="D75" s="9" t="s">
        <v>66</v>
      </c>
      <c r="E75" s="9" t="s">
        <v>85</v>
      </c>
      <c r="F75" s="9" t="s">
        <v>570</v>
      </c>
      <c r="G75" s="9" t="s">
        <v>571</v>
      </c>
      <c r="H75" s="9" t="s">
        <v>572</v>
      </c>
      <c r="I75" s="9" t="s">
        <v>573</v>
      </c>
      <c r="J75" s="9" t="s">
        <v>574</v>
      </c>
      <c r="K75" s="9"/>
      <c r="L75" s="9"/>
      <c r="M75" s="11" t="s">
        <v>82</v>
      </c>
      <c r="N75" s="9" t="s">
        <v>74</v>
      </c>
      <c r="O75" s="9" t="s">
        <v>575</v>
      </c>
      <c r="P75" s="9"/>
    </row>
    <row r="76" customFormat="false" ht="15" hidden="false" customHeight="false" outlineLevel="0" collapsed="false">
      <c r="A76" s="9" t="s">
        <v>576</v>
      </c>
      <c r="B76" s="9" t="s">
        <v>64</v>
      </c>
      <c r="C76" s="9" t="s">
        <v>65</v>
      </c>
      <c r="D76" s="9" t="s">
        <v>66</v>
      </c>
      <c r="E76" s="9" t="s">
        <v>85</v>
      </c>
      <c r="F76" s="9" t="s">
        <v>577</v>
      </c>
      <c r="G76" s="9" t="s">
        <v>578</v>
      </c>
      <c r="H76" s="9" t="s">
        <v>579</v>
      </c>
      <c r="I76" s="9" t="s">
        <v>580</v>
      </c>
      <c r="J76" s="9" t="s">
        <v>581</v>
      </c>
      <c r="K76" s="9"/>
      <c r="L76" s="9"/>
      <c r="M76" s="11" t="s">
        <v>98</v>
      </c>
      <c r="N76" s="9" t="s">
        <v>74</v>
      </c>
      <c r="O76" s="9" t="s">
        <v>582</v>
      </c>
      <c r="P76" s="9"/>
    </row>
    <row r="77" customFormat="false" ht="23.85" hidden="false" customHeight="false" outlineLevel="0" collapsed="false">
      <c r="A77" s="9" t="s">
        <v>583</v>
      </c>
      <c r="B77" s="9" t="s">
        <v>64</v>
      </c>
      <c r="C77" s="9" t="s">
        <v>65</v>
      </c>
      <c r="D77" s="9" t="s">
        <v>66</v>
      </c>
      <c r="E77" s="9" t="s">
        <v>129</v>
      </c>
      <c r="F77" s="9" t="s">
        <v>584</v>
      </c>
      <c r="G77" s="9" t="s">
        <v>585</v>
      </c>
      <c r="H77" s="9" t="s">
        <v>586</v>
      </c>
      <c r="I77" s="9" t="s">
        <v>587</v>
      </c>
      <c r="J77" s="9" t="s">
        <v>588</v>
      </c>
      <c r="K77" s="9"/>
      <c r="L77" s="9"/>
      <c r="M77" s="11" t="s">
        <v>73</v>
      </c>
      <c r="N77" s="9" t="s">
        <v>74</v>
      </c>
      <c r="O77" s="9" t="s">
        <v>589</v>
      </c>
      <c r="P77" s="9"/>
    </row>
    <row r="78" customFormat="false" ht="23.85" hidden="false" customHeight="false" outlineLevel="0" collapsed="false">
      <c r="A78" s="9" t="s">
        <v>590</v>
      </c>
      <c r="B78" s="9" t="s">
        <v>64</v>
      </c>
      <c r="C78" s="9" t="s">
        <v>65</v>
      </c>
      <c r="D78" s="9" t="s">
        <v>66</v>
      </c>
      <c r="E78" s="9" t="s">
        <v>85</v>
      </c>
      <c r="F78" s="9" t="s">
        <v>591</v>
      </c>
      <c r="G78" s="9" t="s">
        <v>592</v>
      </c>
      <c r="H78" s="9" t="s">
        <v>593</v>
      </c>
      <c r="I78" s="9" t="s">
        <v>594</v>
      </c>
      <c r="J78" s="9" t="s">
        <v>595</v>
      </c>
      <c r="K78" s="9"/>
      <c r="L78" s="9"/>
      <c r="M78" s="11" t="s">
        <v>73</v>
      </c>
      <c r="N78" s="9" t="s">
        <v>74</v>
      </c>
      <c r="O78" s="9" t="s">
        <v>596</v>
      </c>
      <c r="P78" s="9"/>
    </row>
    <row r="79" customFormat="false" ht="15" hidden="false" customHeight="false" outlineLevel="0" collapsed="false">
      <c r="A79" s="9" t="s">
        <v>597</v>
      </c>
      <c r="B79" s="9" t="s">
        <v>64</v>
      </c>
      <c r="C79" s="9" t="s">
        <v>65</v>
      </c>
      <c r="D79" s="9" t="s">
        <v>66</v>
      </c>
      <c r="E79" s="9" t="s">
        <v>85</v>
      </c>
      <c r="F79" s="9" t="s">
        <v>598</v>
      </c>
      <c r="G79" s="9" t="s">
        <v>599</v>
      </c>
      <c r="H79" s="9" t="s">
        <v>600</v>
      </c>
      <c r="I79" s="9" t="s">
        <v>601</v>
      </c>
      <c r="J79" s="9" t="s">
        <v>602</v>
      </c>
      <c r="K79" s="9"/>
      <c r="L79" s="9"/>
      <c r="M79" s="11" t="s">
        <v>73</v>
      </c>
      <c r="N79" s="9" t="s">
        <v>74</v>
      </c>
      <c r="O79" s="9" t="s">
        <v>603</v>
      </c>
      <c r="P79" s="9"/>
    </row>
    <row r="80" customFormat="false" ht="35.05" hidden="false" customHeight="false" outlineLevel="0" collapsed="false">
      <c r="A80" s="9" t="s">
        <v>604</v>
      </c>
      <c r="B80" s="9" t="s">
        <v>64</v>
      </c>
      <c r="C80" s="9" t="s">
        <v>65</v>
      </c>
      <c r="D80" s="9" t="s">
        <v>66</v>
      </c>
      <c r="E80" s="9" t="s">
        <v>67</v>
      </c>
      <c r="F80" s="9" t="s">
        <v>605</v>
      </c>
      <c r="G80" s="9" t="s">
        <v>606</v>
      </c>
      <c r="H80" s="9" t="s">
        <v>607</v>
      </c>
      <c r="I80" s="9" t="s">
        <v>608</v>
      </c>
      <c r="J80" s="9" t="s">
        <v>609</v>
      </c>
      <c r="K80" s="9"/>
      <c r="L80" s="9"/>
      <c r="M80" s="11" t="s">
        <v>64</v>
      </c>
      <c r="N80" s="9" t="s">
        <v>74</v>
      </c>
      <c r="O80" s="9" t="s">
        <v>610</v>
      </c>
      <c r="P80" s="9"/>
    </row>
    <row r="81" customFormat="false" ht="15" hidden="false" customHeight="false" outlineLevel="0" collapsed="false">
      <c r="A81" s="9" t="s">
        <v>611</v>
      </c>
      <c r="B81" s="9" t="s">
        <v>64</v>
      </c>
      <c r="C81" s="9" t="s">
        <v>65</v>
      </c>
      <c r="D81" s="9" t="s">
        <v>66</v>
      </c>
      <c r="E81" s="9" t="s">
        <v>85</v>
      </c>
      <c r="F81" s="9" t="s">
        <v>612</v>
      </c>
      <c r="G81" s="9" t="s">
        <v>552</v>
      </c>
      <c r="H81" s="9" t="s">
        <v>613</v>
      </c>
      <c r="I81" s="9" t="s">
        <v>614</v>
      </c>
      <c r="J81" s="9" t="s">
        <v>615</v>
      </c>
      <c r="K81" s="9"/>
      <c r="L81" s="9"/>
      <c r="M81" s="11" t="s">
        <v>98</v>
      </c>
      <c r="N81" s="9" t="s">
        <v>74</v>
      </c>
      <c r="O81" s="9" t="s">
        <v>616</v>
      </c>
      <c r="P81" s="9"/>
    </row>
    <row r="82" customFormat="false" ht="15" hidden="false" customHeight="false" outlineLevel="0" collapsed="false">
      <c r="A82" s="9" t="s">
        <v>617</v>
      </c>
      <c r="B82" s="9" t="s">
        <v>64</v>
      </c>
      <c r="C82" s="9" t="s">
        <v>65</v>
      </c>
      <c r="D82" s="9" t="s">
        <v>66</v>
      </c>
      <c r="E82" s="9" t="s">
        <v>85</v>
      </c>
      <c r="F82" s="9" t="s">
        <v>618</v>
      </c>
      <c r="G82" s="9" t="s">
        <v>619</v>
      </c>
      <c r="H82" s="9" t="s">
        <v>620</v>
      </c>
      <c r="I82" s="9" t="s">
        <v>621</v>
      </c>
      <c r="J82" s="9" t="s">
        <v>348</v>
      </c>
      <c r="K82" s="9"/>
      <c r="L82" s="9"/>
      <c r="M82" s="11" t="s">
        <v>98</v>
      </c>
      <c r="N82" s="9" t="s">
        <v>74</v>
      </c>
      <c r="O82" s="9" t="s">
        <v>622</v>
      </c>
      <c r="P82" s="9"/>
    </row>
    <row r="83" customFormat="false" ht="23.85" hidden="false" customHeight="false" outlineLevel="0" collapsed="false">
      <c r="A83" s="9" t="s">
        <v>623</v>
      </c>
      <c r="B83" s="9" t="s">
        <v>64</v>
      </c>
      <c r="C83" s="9" t="s">
        <v>65</v>
      </c>
      <c r="D83" s="9" t="s">
        <v>66</v>
      </c>
      <c r="E83" s="9" t="s">
        <v>85</v>
      </c>
      <c r="F83" s="9" t="s">
        <v>624</v>
      </c>
      <c r="G83" s="9" t="s">
        <v>625</v>
      </c>
      <c r="H83" s="9" t="s">
        <v>626</v>
      </c>
      <c r="I83" s="9" t="s">
        <v>627</v>
      </c>
      <c r="J83" s="9" t="s">
        <v>628</v>
      </c>
      <c r="K83" s="9"/>
      <c r="L83" s="9"/>
      <c r="M83" s="11" t="s">
        <v>64</v>
      </c>
      <c r="N83" s="9" t="s">
        <v>74</v>
      </c>
      <c r="O83" s="9" t="s">
        <v>629</v>
      </c>
      <c r="P83" s="9"/>
    </row>
    <row r="84" customFormat="false" ht="15" hidden="false" customHeight="false" outlineLevel="0" collapsed="false">
      <c r="A84" s="9" t="s">
        <v>630</v>
      </c>
      <c r="B84" s="9" t="s">
        <v>64</v>
      </c>
      <c r="C84" s="9" t="s">
        <v>65</v>
      </c>
      <c r="D84" s="9" t="s">
        <v>66</v>
      </c>
      <c r="E84" s="9" t="s">
        <v>85</v>
      </c>
      <c r="F84" s="9" t="s">
        <v>631</v>
      </c>
      <c r="G84" s="9" t="s">
        <v>632</v>
      </c>
      <c r="H84" s="9" t="s">
        <v>633</v>
      </c>
      <c r="I84" s="9" t="s">
        <v>348</v>
      </c>
      <c r="J84" s="9" t="s">
        <v>634</v>
      </c>
      <c r="K84" s="9"/>
      <c r="L84" s="9"/>
      <c r="M84" s="11" t="s">
        <v>64</v>
      </c>
      <c r="N84" s="9" t="s">
        <v>74</v>
      </c>
      <c r="O84" s="9" t="s">
        <v>635</v>
      </c>
      <c r="P84" s="9"/>
    </row>
    <row r="85" customFormat="false" ht="15" hidden="false" customHeight="false" outlineLevel="0" collapsed="false">
      <c r="A85" s="9" t="s">
        <v>636</v>
      </c>
      <c r="B85" s="9" t="s">
        <v>64</v>
      </c>
      <c r="C85" s="9" t="s">
        <v>65</v>
      </c>
      <c r="D85" s="9" t="s">
        <v>66</v>
      </c>
      <c r="E85" s="9" t="s">
        <v>67</v>
      </c>
      <c r="F85" s="9" t="s">
        <v>637</v>
      </c>
      <c r="G85" s="9" t="s">
        <v>638</v>
      </c>
      <c r="H85" s="9" t="s">
        <v>639</v>
      </c>
      <c r="I85" s="9" t="s">
        <v>160</v>
      </c>
      <c r="J85" s="9" t="s">
        <v>640</v>
      </c>
      <c r="K85" s="9"/>
      <c r="L85" s="9"/>
      <c r="M85" s="11" t="s">
        <v>64</v>
      </c>
      <c r="N85" s="9" t="s">
        <v>74</v>
      </c>
      <c r="O85" s="9" t="s">
        <v>641</v>
      </c>
      <c r="P85" s="9"/>
    </row>
    <row r="86" customFormat="false" ht="23.85" hidden="false" customHeight="false" outlineLevel="0" collapsed="false">
      <c r="A86" s="9" t="s">
        <v>642</v>
      </c>
      <c r="B86" s="9" t="s">
        <v>64</v>
      </c>
      <c r="C86" s="9" t="s">
        <v>65</v>
      </c>
      <c r="D86" s="9" t="s">
        <v>66</v>
      </c>
      <c r="E86" s="9" t="s">
        <v>85</v>
      </c>
      <c r="F86" s="9" t="s">
        <v>643</v>
      </c>
      <c r="G86" s="9" t="s">
        <v>644</v>
      </c>
      <c r="H86" s="9" t="s">
        <v>645</v>
      </c>
      <c r="I86" s="9" t="s">
        <v>646</v>
      </c>
      <c r="J86" s="9" t="s">
        <v>647</v>
      </c>
      <c r="K86" s="9"/>
      <c r="L86" s="9"/>
      <c r="M86" s="11" t="s">
        <v>73</v>
      </c>
      <c r="N86" s="9" t="s">
        <v>74</v>
      </c>
      <c r="O86" s="9" t="s">
        <v>648</v>
      </c>
      <c r="P86" s="9"/>
    </row>
    <row r="87" customFormat="false" ht="23.85" hidden="false" customHeight="false" outlineLevel="0" collapsed="false">
      <c r="A87" s="9" t="s">
        <v>649</v>
      </c>
      <c r="B87" s="9" t="s">
        <v>64</v>
      </c>
      <c r="C87" s="9" t="s">
        <v>65</v>
      </c>
      <c r="D87" s="9" t="s">
        <v>66</v>
      </c>
      <c r="E87" s="9" t="s">
        <v>85</v>
      </c>
      <c r="F87" s="9" t="s">
        <v>650</v>
      </c>
      <c r="G87" s="9" t="s">
        <v>651</v>
      </c>
      <c r="H87" s="9" t="s">
        <v>652</v>
      </c>
      <c r="I87" s="9" t="s">
        <v>653</v>
      </c>
      <c r="J87" s="9" t="s">
        <v>654</v>
      </c>
      <c r="K87" s="9"/>
      <c r="L87" s="9"/>
      <c r="M87" s="11" t="s">
        <v>73</v>
      </c>
      <c r="N87" s="9" t="s">
        <v>74</v>
      </c>
      <c r="O87" s="9" t="s">
        <v>655</v>
      </c>
      <c r="P87" s="9"/>
    </row>
    <row r="88" customFormat="false" ht="15" hidden="false" customHeight="false" outlineLevel="0" collapsed="false">
      <c r="A88" s="9" t="s">
        <v>656</v>
      </c>
      <c r="B88" s="9" t="s">
        <v>64</v>
      </c>
      <c r="C88" s="9" t="s">
        <v>65</v>
      </c>
      <c r="D88" s="9" t="s">
        <v>66</v>
      </c>
      <c r="E88" s="9" t="s">
        <v>129</v>
      </c>
      <c r="F88" s="9" t="s">
        <v>657</v>
      </c>
      <c r="G88" s="9" t="s">
        <v>658</v>
      </c>
      <c r="H88" s="9" t="s">
        <v>659</v>
      </c>
      <c r="I88" s="9" t="s">
        <v>660</v>
      </c>
      <c r="J88" s="9" t="s">
        <v>497</v>
      </c>
      <c r="K88" s="9"/>
      <c r="L88" s="9"/>
      <c r="M88" s="11" t="s">
        <v>82</v>
      </c>
      <c r="N88" s="9" t="s">
        <v>74</v>
      </c>
      <c r="O88" s="9" t="s">
        <v>661</v>
      </c>
      <c r="P88" s="9"/>
    </row>
    <row r="89" customFormat="false" ht="23.85" hidden="false" customHeight="false" outlineLevel="0" collapsed="false">
      <c r="A89" s="9" t="s">
        <v>662</v>
      </c>
      <c r="B89" s="9" t="s">
        <v>64</v>
      </c>
      <c r="C89" s="9" t="s">
        <v>65</v>
      </c>
      <c r="D89" s="9" t="s">
        <v>66</v>
      </c>
      <c r="E89" s="9" t="s">
        <v>85</v>
      </c>
      <c r="F89" s="9" t="s">
        <v>663</v>
      </c>
      <c r="G89" s="9" t="s">
        <v>664</v>
      </c>
      <c r="H89" s="9" t="s">
        <v>665</v>
      </c>
      <c r="I89" s="9" t="s">
        <v>666</v>
      </c>
      <c r="J89" s="9" t="s">
        <v>667</v>
      </c>
      <c r="K89" s="9"/>
      <c r="L89" s="9"/>
      <c r="M89" s="11" t="s">
        <v>82</v>
      </c>
      <c r="N89" s="9" t="s">
        <v>74</v>
      </c>
      <c r="O89" s="9" t="s">
        <v>668</v>
      </c>
      <c r="P89" s="9"/>
    </row>
    <row r="90" customFormat="false" ht="35.05" hidden="false" customHeight="false" outlineLevel="0" collapsed="false">
      <c r="A90" s="9" t="s">
        <v>669</v>
      </c>
      <c r="B90" s="9" t="s">
        <v>64</v>
      </c>
      <c r="C90" s="9" t="s">
        <v>65</v>
      </c>
      <c r="D90" s="9" t="s">
        <v>66</v>
      </c>
      <c r="E90" s="9" t="s">
        <v>85</v>
      </c>
      <c r="F90" s="9" t="s">
        <v>670</v>
      </c>
      <c r="G90" s="9" t="s">
        <v>671</v>
      </c>
      <c r="H90" s="9" t="s">
        <v>672</v>
      </c>
      <c r="I90" s="9" t="s">
        <v>673</v>
      </c>
      <c r="J90" s="9" t="s">
        <v>674</v>
      </c>
      <c r="K90" s="9"/>
      <c r="L90" s="9"/>
      <c r="M90" s="11" t="s">
        <v>64</v>
      </c>
      <c r="N90" s="9" t="s">
        <v>74</v>
      </c>
      <c r="O90" s="9" t="s">
        <v>675</v>
      </c>
      <c r="P90" s="9"/>
    </row>
    <row r="91" customFormat="false" ht="23.85" hidden="false" customHeight="false" outlineLevel="0" collapsed="false">
      <c r="A91" s="9" t="s">
        <v>676</v>
      </c>
      <c r="B91" s="9" t="s">
        <v>64</v>
      </c>
      <c r="C91" s="9" t="s">
        <v>65</v>
      </c>
      <c r="D91" s="9" t="s">
        <v>66</v>
      </c>
      <c r="E91" s="9" t="s">
        <v>67</v>
      </c>
      <c r="F91" s="9" t="s">
        <v>677</v>
      </c>
      <c r="G91" s="9" t="s">
        <v>678</v>
      </c>
      <c r="H91" s="9" t="s">
        <v>679</v>
      </c>
      <c r="I91" s="9" t="s">
        <v>680</v>
      </c>
      <c r="J91" s="9" t="s">
        <v>681</v>
      </c>
      <c r="K91" s="9"/>
      <c r="L91" s="9"/>
      <c r="M91" s="11" t="s">
        <v>82</v>
      </c>
      <c r="N91" s="9" t="s">
        <v>74</v>
      </c>
      <c r="O91" s="9" t="s">
        <v>682</v>
      </c>
      <c r="P91" s="9"/>
    </row>
    <row r="92" customFormat="false" ht="15" hidden="false" customHeight="false" outlineLevel="0" collapsed="false">
      <c r="A92" s="9" t="s">
        <v>683</v>
      </c>
      <c r="B92" s="9" t="s">
        <v>82</v>
      </c>
      <c r="C92" s="9" t="s">
        <v>684</v>
      </c>
      <c r="D92" s="9" t="s">
        <v>66</v>
      </c>
      <c r="E92" s="9" t="s">
        <v>67</v>
      </c>
      <c r="F92" s="9" t="s">
        <v>685</v>
      </c>
      <c r="G92" s="9" t="s">
        <v>686</v>
      </c>
      <c r="H92" s="9" t="s">
        <v>687</v>
      </c>
      <c r="I92" s="9" t="s">
        <v>688</v>
      </c>
      <c r="J92" s="9" t="s">
        <v>689</v>
      </c>
      <c r="K92" s="9"/>
      <c r="L92" s="9"/>
      <c r="M92" s="11" t="s">
        <v>98</v>
      </c>
      <c r="N92" s="9" t="s">
        <v>74</v>
      </c>
      <c r="O92" s="9" t="s">
        <v>690</v>
      </c>
      <c r="P92" s="9"/>
    </row>
    <row r="93" customFormat="false" ht="23.85" hidden="false" customHeight="false" outlineLevel="0" collapsed="false">
      <c r="A93" s="9" t="s">
        <v>691</v>
      </c>
      <c r="B93" s="9" t="s">
        <v>82</v>
      </c>
      <c r="C93" s="9" t="s">
        <v>684</v>
      </c>
      <c r="D93" s="9" t="s">
        <v>66</v>
      </c>
      <c r="E93" s="9" t="s">
        <v>85</v>
      </c>
      <c r="F93" s="9" t="s">
        <v>692</v>
      </c>
      <c r="G93" s="9" t="s">
        <v>693</v>
      </c>
      <c r="H93" s="9" t="s">
        <v>694</v>
      </c>
      <c r="I93" s="9" t="s">
        <v>695</v>
      </c>
      <c r="J93" s="9" t="s">
        <v>696</v>
      </c>
      <c r="K93" s="9"/>
      <c r="L93" s="9"/>
      <c r="M93" s="11" t="s">
        <v>98</v>
      </c>
      <c r="N93" s="9" t="s">
        <v>74</v>
      </c>
      <c r="O93" s="9" t="s">
        <v>697</v>
      </c>
      <c r="P93" s="9"/>
    </row>
    <row r="94" customFormat="false" ht="23.85" hidden="false" customHeight="false" outlineLevel="0" collapsed="false">
      <c r="A94" s="9" t="s">
        <v>698</v>
      </c>
      <c r="B94" s="9" t="s">
        <v>82</v>
      </c>
      <c r="C94" s="9" t="s">
        <v>684</v>
      </c>
      <c r="D94" s="9" t="s">
        <v>66</v>
      </c>
      <c r="E94" s="9" t="s">
        <v>85</v>
      </c>
      <c r="F94" s="9" t="s">
        <v>699</v>
      </c>
      <c r="G94" s="9" t="s">
        <v>700</v>
      </c>
      <c r="H94" s="9" t="s">
        <v>701</v>
      </c>
      <c r="I94" s="9" t="s">
        <v>702</v>
      </c>
      <c r="J94" s="9" t="s">
        <v>703</v>
      </c>
      <c r="K94" s="9"/>
      <c r="L94" s="9"/>
      <c r="M94" s="11" t="s">
        <v>64</v>
      </c>
      <c r="N94" s="9" t="s">
        <v>74</v>
      </c>
      <c r="O94" s="9" t="s">
        <v>704</v>
      </c>
      <c r="P94" s="9"/>
    </row>
    <row r="95" customFormat="false" ht="23.85" hidden="false" customHeight="false" outlineLevel="0" collapsed="false">
      <c r="A95" s="9" t="s">
        <v>705</v>
      </c>
      <c r="B95" s="9" t="s">
        <v>82</v>
      </c>
      <c r="C95" s="9" t="s">
        <v>684</v>
      </c>
      <c r="D95" s="9" t="s">
        <v>66</v>
      </c>
      <c r="E95" s="9" t="s">
        <v>85</v>
      </c>
      <c r="F95" s="9" t="s">
        <v>706</v>
      </c>
      <c r="G95" s="9" t="s">
        <v>707</v>
      </c>
      <c r="H95" s="9" t="s">
        <v>263</v>
      </c>
      <c r="I95" s="9" t="s">
        <v>708</v>
      </c>
      <c r="J95" s="9" t="s">
        <v>652</v>
      </c>
      <c r="K95" s="9"/>
      <c r="L95" s="9"/>
      <c r="M95" s="11" t="s">
        <v>82</v>
      </c>
      <c r="N95" s="9" t="s">
        <v>74</v>
      </c>
      <c r="O95" s="9" t="s">
        <v>709</v>
      </c>
      <c r="P95" s="9"/>
    </row>
    <row r="96" customFormat="false" ht="23.85" hidden="false" customHeight="false" outlineLevel="0" collapsed="false">
      <c r="A96" s="9" t="s">
        <v>710</v>
      </c>
      <c r="B96" s="9" t="s">
        <v>82</v>
      </c>
      <c r="C96" s="9" t="s">
        <v>684</v>
      </c>
      <c r="D96" s="9" t="s">
        <v>66</v>
      </c>
      <c r="E96" s="9" t="s">
        <v>85</v>
      </c>
      <c r="F96" s="9" t="s">
        <v>711</v>
      </c>
      <c r="G96" s="9" t="s">
        <v>712</v>
      </c>
      <c r="H96" s="9" t="s">
        <v>713</v>
      </c>
      <c r="I96" s="9" t="s">
        <v>714</v>
      </c>
      <c r="J96" s="9" t="s">
        <v>715</v>
      </c>
      <c r="K96" s="9"/>
      <c r="L96" s="9"/>
      <c r="M96" s="11" t="s">
        <v>98</v>
      </c>
      <c r="N96" s="9" t="s">
        <v>74</v>
      </c>
      <c r="O96" s="9" t="s">
        <v>716</v>
      </c>
      <c r="P96" s="9"/>
    </row>
    <row r="97" customFormat="false" ht="23.85" hidden="false" customHeight="false" outlineLevel="0" collapsed="false">
      <c r="A97" s="9" t="s">
        <v>717</v>
      </c>
      <c r="B97" s="9" t="s">
        <v>82</v>
      </c>
      <c r="C97" s="9" t="s">
        <v>684</v>
      </c>
      <c r="D97" s="9" t="s">
        <v>66</v>
      </c>
      <c r="E97" s="9" t="s">
        <v>85</v>
      </c>
      <c r="F97" s="9" t="s">
        <v>718</v>
      </c>
      <c r="G97" s="9" t="s">
        <v>719</v>
      </c>
      <c r="H97" s="9" t="s">
        <v>720</v>
      </c>
      <c r="I97" s="9" t="s">
        <v>640</v>
      </c>
      <c r="J97" s="9" t="s">
        <v>721</v>
      </c>
      <c r="K97" s="9"/>
      <c r="L97" s="9"/>
      <c r="M97" s="11" t="s">
        <v>73</v>
      </c>
      <c r="N97" s="9" t="s">
        <v>74</v>
      </c>
      <c r="O97" s="9" t="s">
        <v>722</v>
      </c>
      <c r="P97" s="9"/>
    </row>
    <row r="98" customFormat="false" ht="15" hidden="false" customHeight="false" outlineLevel="0" collapsed="false">
      <c r="A98" s="9" t="s">
        <v>723</v>
      </c>
      <c r="B98" s="9" t="s">
        <v>82</v>
      </c>
      <c r="C98" s="9" t="s">
        <v>684</v>
      </c>
      <c r="D98" s="9" t="s">
        <v>66</v>
      </c>
      <c r="E98" s="9" t="s">
        <v>129</v>
      </c>
      <c r="F98" s="9" t="s">
        <v>724</v>
      </c>
      <c r="G98" s="9" t="s">
        <v>725</v>
      </c>
      <c r="H98" s="9" t="s">
        <v>726</v>
      </c>
      <c r="I98" s="9" t="s">
        <v>727</v>
      </c>
      <c r="J98" s="9" t="s">
        <v>728</v>
      </c>
      <c r="K98" s="9"/>
      <c r="L98" s="9"/>
      <c r="M98" s="11" t="s">
        <v>64</v>
      </c>
      <c r="N98" s="9" t="s">
        <v>74</v>
      </c>
      <c r="O98" s="9" t="s">
        <v>729</v>
      </c>
      <c r="P98" s="9"/>
    </row>
    <row r="99" customFormat="false" ht="23.85" hidden="false" customHeight="false" outlineLevel="0" collapsed="false">
      <c r="A99" s="9" t="s">
        <v>730</v>
      </c>
      <c r="B99" s="9" t="s">
        <v>82</v>
      </c>
      <c r="C99" s="9" t="s">
        <v>684</v>
      </c>
      <c r="D99" s="9" t="s">
        <v>66</v>
      </c>
      <c r="E99" s="9" t="s">
        <v>85</v>
      </c>
      <c r="F99" s="9" t="s">
        <v>731</v>
      </c>
      <c r="G99" s="9" t="s">
        <v>732</v>
      </c>
      <c r="H99" s="9" t="s">
        <v>733</v>
      </c>
      <c r="I99" s="9" t="s">
        <v>207</v>
      </c>
      <c r="J99" s="9" t="s">
        <v>489</v>
      </c>
      <c r="K99" s="9"/>
      <c r="L99" s="9"/>
      <c r="M99" s="11" t="s">
        <v>82</v>
      </c>
      <c r="N99" s="9" t="s">
        <v>74</v>
      </c>
      <c r="O99" s="9" t="s">
        <v>734</v>
      </c>
      <c r="P99" s="9"/>
    </row>
    <row r="100" customFormat="false" ht="23.85" hidden="false" customHeight="false" outlineLevel="0" collapsed="false">
      <c r="A100" s="9" t="s">
        <v>735</v>
      </c>
      <c r="B100" s="9" t="s">
        <v>82</v>
      </c>
      <c r="C100" s="9" t="s">
        <v>684</v>
      </c>
      <c r="D100" s="9" t="s">
        <v>66</v>
      </c>
      <c r="E100" s="9" t="s">
        <v>85</v>
      </c>
      <c r="F100" s="9" t="s">
        <v>736</v>
      </c>
      <c r="G100" s="9" t="s">
        <v>737</v>
      </c>
      <c r="H100" s="9" t="s">
        <v>119</v>
      </c>
      <c r="I100" s="9" t="s">
        <v>738</v>
      </c>
      <c r="J100" s="9" t="s">
        <v>739</v>
      </c>
      <c r="K100" s="9"/>
      <c r="L100" s="9"/>
      <c r="M100" s="11" t="s">
        <v>73</v>
      </c>
      <c r="N100" s="9" t="s">
        <v>74</v>
      </c>
      <c r="O100" s="9" t="s">
        <v>740</v>
      </c>
      <c r="P100" s="9"/>
    </row>
    <row r="101" customFormat="false" ht="23.85" hidden="false" customHeight="false" outlineLevel="0" collapsed="false">
      <c r="A101" s="9" t="s">
        <v>741</v>
      </c>
      <c r="B101" s="9" t="s">
        <v>82</v>
      </c>
      <c r="C101" s="9" t="s">
        <v>684</v>
      </c>
      <c r="D101" s="9" t="s">
        <v>66</v>
      </c>
      <c r="E101" s="9" t="s">
        <v>85</v>
      </c>
      <c r="F101" s="9" t="s">
        <v>742</v>
      </c>
      <c r="G101" s="9" t="s">
        <v>743</v>
      </c>
      <c r="H101" s="9" t="s">
        <v>744</v>
      </c>
      <c r="I101" s="9" t="s">
        <v>745</v>
      </c>
      <c r="J101" s="9" t="s">
        <v>746</v>
      </c>
      <c r="K101" s="9"/>
      <c r="L101" s="9"/>
      <c r="M101" s="11" t="s">
        <v>98</v>
      </c>
      <c r="N101" s="9" t="s">
        <v>74</v>
      </c>
      <c r="O101" s="9" t="s">
        <v>747</v>
      </c>
      <c r="P101" s="9"/>
    </row>
    <row r="102" customFormat="false" ht="15" hidden="false" customHeight="false" outlineLevel="0" collapsed="false">
      <c r="A102" s="9" t="s">
        <v>748</v>
      </c>
      <c r="B102" s="9" t="s">
        <v>82</v>
      </c>
      <c r="C102" s="9" t="s">
        <v>684</v>
      </c>
      <c r="D102" s="9" t="s">
        <v>66</v>
      </c>
      <c r="E102" s="9" t="s">
        <v>129</v>
      </c>
      <c r="F102" s="9" t="s">
        <v>749</v>
      </c>
      <c r="G102" s="9" t="s">
        <v>750</v>
      </c>
      <c r="H102" s="9" t="s">
        <v>751</v>
      </c>
      <c r="I102" s="9" t="s">
        <v>752</v>
      </c>
      <c r="J102" s="9" t="s">
        <v>753</v>
      </c>
      <c r="K102" s="9"/>
      <c r="L102" s="9"/>
      <c r="M102" s="11" t="s">
        <v>82</v>
      </c>
      <c r="N102" s="9" t="s">
        <v>74</v>
      </c>
      <c r="O102" s="9" t="s">
        <v>754</v>
      </c>
      <c r="P102" s="9"/>
    </row>
    <row r="103" customFormat="false" ht="15" hidden="false" customHeight="false" outlineLevel="0" collapsed="false">
      <c r="A103" s="9" t="s">
        <v>755</v>
      </c>
      <c r="B103" s="9" t="s">
        <v>82</v>
      </c>
      <c r="C103" s="9" t="s">
        <v>684</v>
      </c>
      <c r="D103" s="9" t="s">
        <v>66</v>
      </c>
      <c r="E103" s="9" t="s">
        <v>129</v>
      </c>
      <c r="F103" s="9" t="s">
        <v>756</v>
      </c>
      <c r="G103" s="9" t="s">
        <v>757</v>
      </c>
      <c r="H103" s="9" t="s">
        <v>751</v>
      </c>
      <c r="I103" s="9" t="s">
        <v>758</v>
      </c>
      <c r="J103" s="9" t="s">
        <v>750</v>
      </c>
      <c r="K103" s="9"/>
      <c r="L103" s="9"/>
      <c r="M103" s="11" t="s">
        <v>73</v>
      </c>
      <c r="N103" s="9" t="s">
        <v>74</v>
      </c>
      <c r="O103" s="9" t="s">
        <v>759</v>
      </c>
      <c r="P103" s="9"/>
    </row>
    <row r="104" customFormat="false" ht="35.05" hidden="false" customHeight="false" outlineLevel="0" collapsed="false">
      <c r="A104" s="9" t="s">
        <v>760</v>
      </c>
      <c r="B104" s="9" t="s">
        <v>82</v>
      </c>
      <c r="C104" s="9" t="s">
        <v>684</v>
      </c>
      <c r="D104" s="9" t="s">
        <v>66</v>
      </c>
      <c r="E104" s="9" t="s">
        <v>85</v>
      </c>
      <c r="F104" s="9" t="s">
        <v>761</v>
      </c>
      <c r="G104" s="9" t="s">
        <v>762</v>
      </c>
      <c r="H104" s="9" t="s">
        <v>763</v>
      </c>
      <c r="I104" s="9" t="s">
        <v>764</v>
      </c>
      <c r="J104" s="9" t="s">
        <v>765</v>
      </c>
      <c r="K104" s="9"/>
      <c r="L104" s="9"/>
      <c r="M104" s="11" t="s">
        <v>64</v>
      </c>
      <c r="N104" s="9" t="s">
        <v>74</v>
      </c>
      <c r="O104" s="9" t="s">
        <v>766</v>
      </c>
      <c r="P104" s="9"/>
    </row>
    <row r="105" customFormat="false" ht="23.85" hidden="false" customHeight="false" outlineLevel="0" collapsed="false">
      <c r="A105" s="9" t="s">
        <v>767</v>
      </c>
      <c r="B105" s="9" t="s">
        <v>82</v>
      </c>
      <c r="C105" s="9" t="s">
        <v>684</v>
      </c>
      <c r="D105" s="9" t="s">
        <v>66</v>
      </c>
      <c r="E105" s="9" t="s">
        <v>85</v>
      </c>
      <c r="F105" s="9" t="s">
        <v>768</v>
      </c>
      <c r="G105" s="9" t="s">
        <v>769</v>
      </c>
      <c r="H105" s="9" t="s">
        <v>770</v>
      </c>
      <c r="I105" s="9" t="s">
        <v>771</v>
      </c>
      <c r="J105" s="9" t="s">
        <v>772</v>
      </c>
      <c r="K105" s="9"/>
      <c r="L105" s="9"/>
      <c r="M105" s="11" t="s">
        <v>98</v>
      </c>
      <c r="N105" s="9" t="s">
        <v>74</v>
      </c>
      <c r="O105" s="9" t="s">
        <v>773</v>
      </c>
      <c r="P105" s="9"/>
    </row>
    <row r="106" customFormat="false" ht="23.85" hidden="false" customHeight="false" outlineLevel="0" collapsed="false">
      <c r="A106" s="9" t="s">
        <v>774</v>
      </c>
      <c r="B106" s="9" t="s">
        <v>82</v>
      </c>
      <c r="C106" s="9" t="s">
        <v>684</v>
      </c>
      <c r="D106" s="9" t="s">
        <v>66</v>
      </c>
      <c r="E106" s="9" t="s">
        <v>67</v>
      </c>
      <c r="F106" s="9" t="s">
        <v>775</v>
      </c>
      <c r="G106" s="9" t="s">
        <v>776</v>
      </c>
      <c r="H106" s="9" t="s">
        <v>777</v>
      </c>
      <c r="I106" s="9" t="s">
        <v>385</v>
      </c>
      <c r="J106" s="9" t="s">
        <v>769</v>
      </c>
      <c r="K106" s="9"/>
      <c r="L106" s="9"/>
      <c r="M106" s="11" t="s">
        <v>82</v>
      </c>
      <c r="N106" s="9" t="s">
        <v>74</v>
      </c>
      <c r="O106" s="9" t="s">
        <v>778</v>
      </c>
      <c r="P106" s="9"/>
    </row>
    <row r="107" customFormat="false" ht="23.85" hidden="false" customHeight="false" outlineLevel="0" collapsed="false">
      <c r="A107" s="9" t="s">
        <v>779</v>
      </c>
      <c r="B107" s="9" t="s">
        <v>98</v>
      </c>
      <c r="C107" s="9" t="s">
        <v>780</v>
      </c>
      <c r="D107" s="9" t="s">
        <v>66</v>
      </c>
      <c r="E107" s="9" t="s">
        <v>67</v>
      </c>
      <c r="F107" s="9" t="s">
        <v>781</v>
      </c>
      <c r="G107" s="9" t="s">
        <v>782</v>
      </c>
      <c r="H107" s="9" t="s">
        <v>783</v>
      </c>
      <c r="I107" s="9" t="s">
        <v>784</v>
      </c>
      <c r="J107" s="9" t="s">
        <v>785</v>
      </c>
      <c r="K107" s="9"/>
      <c r="L107" s="9"/>
      <c r="M107" s="11" t="s">
        <v>82</v>
      </c>
      <c r="N107" s="9" t="s">
        <v>74</v>
      </c>
      <c r="O107" s="9" t="s">
        <v>786</v>
      </c>
      <c r="P107" s="9"/>
    </row>
    <row r="108" customFormat="false" ht="23.85" hidden="false" customHeight="false" outlineLevel="0" collapsed="false">
      <c r="A108" s="9" t="s">
        <v>787</v>
      </c>
      <c r="B108" s="9" t="s">
        <v>98</v>
      </c>
      <c r="C108" s="9" t="s">
        <v>780</v>
      </c>
      <c r="D108" s="9" t="s">
        <v>66</v>
      </c>
      <c r="E108" s="9" t="s">
        <v>67</v>
      </c>
      <c r="F108" s="9" t="s">
        <v>788</v>
      </c>
      <c r="G108" s="9" t="s">
        <v>789</v>
      </c>
      <c r="H108" s="9" t="s">
        <v>782</v>
      </c>
      <c r="I108" s="9" t="s">
        <v>784</v>
      </c>
      <c r="J108" s="9" t="s">
        <v>790</v>
      </c>
      <c r="K108" s="9"/>
      <c r="L108" s="9"/>
      <c r="M108" s="11" t="s">
        <v>82</v>
      </c>
      <c r="N108" s="9" t="s">
        <v>74</v>
      </c>
      <c r="O108" s="9" t="s">
        <v>791</v>
      </c>
      <c r="P108" s="9"/>
    </row>
    <row r="109" customFormat="false" ht="23.85" hidden="false" customHeight="false" outlineLevel="0" collapsed="false">
      <c r="A109" s="9" t="s">
        <v>792</v>
      </c>
      <c r="B109" s="9" t="s">
        <v>98</v>
      </c>
      <c r="C109" s="9" t="s">
        <v>780</v>
      </c>
      <c r="D109" s="9" t="s">
        <v>66</v>
      </c>
      <c r="E109" s="9" t="s">
        <v>85</v>
      </c>
      <c r="F109" s="9" t="s">
        <v>793</v>
      </c>
      <c r="G109" s="9" t="s">
        <v>794</v>
      </c>
      <c r="H109" s="9" t="s">
        <v>795</v>
      </c>
      <c r="I109" s="9" t="s">
        <v>796</v>
      </c>
      <c r="J109" s="9" t="s">
        <v>797</v>
      </c>
      <c r="K109" s="9"/>
      <c r="L109" s="9"/>
      <c r="M109" s="11" t="s">
        <v>82</v>
      </c>
      <c r="N109" s="9" t="s">
        <v>74</v>
      </c>
      <c r="O109" s="9" t="s">
        <v>798</v>
      </c>
      <c r="P109" s="9"/>
    </row>
    <row r="110" customFormat="false" ht="23.85" hidden="false" customHeight="false" outlineLevel="0" collapsed="false">
      <c r="A110" s="9" t="s">
        <v>799</v>
      </c>
      <c r="B110" s="9" t="s">
        <v>98</v>
      </c>
      <c r="C110" s="9" t="s">
        <v>780</v>
      </c>
      <c r="D110" s="9" t="s">
        <v>66</v>
      </c>
      <c r="E110" s="9" t="s">
        <v>85</v>
      </c>
      <c r="F110" s="9" t="s">
        <v>800</v>
      </c>
      <c r="G110" s="9" t="s">
        <v>789</v>
      </c>
      <c r="H110" s="9" t="s">
        <v>801</v>
      </c>
      <c r="I110" s="9" t="s">
        <v>802</v>
      </c>
      <c r="J110" s="9" t="s">
        <v>803</v>
      </c>
      <c r="K110" s="9"/>
      <c r="L110" s="9"/>
      <c r="M110" s="11" t="s">
        <v>82</v>
      </c>
      <c r="N110" s="9" t="s">
        <v>74</v>
      </c>
      <c r="O110" s="9" t="s">
        <v>804</v>
      </c>
      <c r="P110" s="9"/>
    </row>
    <row r="111" customFormat="false" ht="23.85" hidden="false" customHeight="false" outlineLevel="0" collapsed="false">
      <c r="A111" s="9" t="s">
        <v>805</v>
      </c>
      <c r="B111" s="9" t="s">
        <v>98</v>
      </c>
      <c r="C111" s="9" t="s">
        <v>780</v>
      </c>
      <c r="D111" s="9" t="s">
        <v>66</v>
      </c>
      <c r="E111" s="9" t="s">
        <v>85</v>
      </c>
      <c r="F111" s="9" t="s">
        <v>806</v>
      </c>
      <c r="G111" s="9" t="s">
        <v>790</v>
      </c>
      <c r="H111" s="9" t="s">
        <v>789</v>
      </c>
      <c r="I111" s="9" t="s">
        <v>807</v>
      </c>
      <c r="J111" s="9" t="s">
        <v>782</v>
      </c>
      <c r="K111" s="9"/>
      <c r="L111" s="9"/>
      <c r="M111" s="11" t="s">
        <v>64</v>
      </c>
      <c r="N111" s="9" t="s">
        <v>74</v>
      </c>
      <c r="O111" s="9" t="s">
        <v>808</v>
      </c>
      <c r="P111" s="9"/>
    </row>
    <row r="112" customFormat="false" ht="23.85" hidden="false" customHeight="false" outlineLevel="0" collapsed="false">
      <c r="A112" s="9" t="s">
        <v>809</v>
      </c>
      <c r="B112" s="9" t="s">
        <v>98</v>
      </c>
      <c r="C112" s="9" t="s">
        <v>780</v>
      </c>
      <c r="D112" s="9" t="s">
        <v>66</v>
      </c>
      <c r="E112" s="9" t="s">
        <v>85</v>
      </c>
      <c r="F112" s="9" t="s">
        <v>810</v>
      </c>
      <c r="G112" s="9" t="s">
        <v>811</v>
      </c>
      <c r="H112" s="9" t="s">
        <v>812</v>
      </c>
      <c r="I112" s="9" t="s">
        <v>789</v>
      </c>
      <c r="J112" s="9" t="s">
        <v>813</v>
      </c>
      <c r="K112" s="9"/>
      <c r="L112" s="9"/>
      <c r="M112" s="11" t="s">
        <v>64</v>
      </c>
      <c r="N112" s="9" t="s">
        <v>74</v>
      </c>
      <c r="O112" s="9" t="s">
        <v>814</v>
      </c>
      <c r="P112" s="9"/>
    </row>
    <row r="113" customFormat="false" ht="23.85" hidden="false" customHeight="false" outlineLevel="0" collapsed="false">
      <c r="A113" s="9" t="s">
        <v>815</v>
      </c>
      <c r="B113" s="9" t="s">
        <v>98</v>
      </c>
      <c r="C113" s="9" t="s">
        <v>780</v>
      </c>
      <c r="D113" s="9" t="s">
        <v>66</v>
      </c>
      <c r="E113" s="9" t="s">
        <v>129</v>
      </c>
      <c r="F113" s="9" t="s">
        <v>816</v>
      </c>
      <c r="G113" s="9" t="s">
        <v>817</v>
      </c>
      <c r="H113" s="9" t="s">
        <v>818</v>
      </c>
      <c r="I113" s="9" t="s">
        <v>819</v>
      </c>
      <c r="J113" s="9" t="s">
        <v>789</v>
      </c>
      <c r="K113" s="9"/>
      <c r="L113" s="9"/>
      <c r="M113" s="11" t="s">
        <v>82</v>
      </c>
      <c r="N113" s="9" t="s">
        <v>74</v>
      </c>
      <c r="O113" s="9" t="s">
        <v>820</v>
      </c>
      <c r="P113" s="9"/>
    </row>
    <row r="114" customFormat="false" ht="23.85" hidden="false" customHeight="false" outlineLevel="0" collapsed="false">
      <c r="A114" s="9" t="s">
        <v>821</v>
      </c>
      <c r="B114" s="9" t="s">
        <v>98</v>
      </c>
      <c r="C114" s="9" t="s">
        <v>780</v>
      </c>
      <c r="D114" s="9" t="s">
        <v>66</v>
      </c>
      <c r="E114" s="9" t="s">
        <v>129</v>
      </c>
      <c r="F114" s="9" t="s">
        <v>822</v>
      </c>
      <c r="G114" s="9" t="s">
        <v>823</v>
      </c>
      <c r="H114" s="9" t="s">
        <v>824</v>
      </c>
      <c r="I114" s="9" t="s">
        <v>825</v>
      </c>
      <c r="J114" s="9" t="s">
        <v>789</v>
      </c>
      <c r="K114" s="9"/>
      <c r="L114" s="9"/>
      <c r="M114" s="11" t="s">
        <v>64</v>
      </c>
      <c r="N114" s="9" t="s">
        <v>74</v>
      </c>
      <c r="O114" s="9" t="s">
        <v>826</v>
      </c>
      <c r="P114" s="9"/>
    </row>
    <row r="115" customFormat="false" ht="23.85" hidden="false" customHeight="false" outlineLevel="0" collapsed="false">
      <c r="A115" s="9" t="s">
        <v>827</v>
      </c>
      <c r="B115" s="9" t="s">
        <v>98</v>
      </c>
      <c r="C115" s="9" t="s">
        <v>780</v>
      </c>
      <c r="D115" s="9" t="s">
        <v>66</v>
      </c>
      <c r="E115" s="9" t="s">
        <v>67</v>
      </c>
      <c r="F115" s="9" t="s">
        <v>828</v>
      </c>
      <c r="G115" s="9" t="s">
        <v>829</v>
      </c>
      <c r="H115" s="9" t="s">
        <v>830</v>
      </c>
      <c r="I115" s="9" t="s">
        <v>831</v>
      </c>
      <c r="J115" s="9" t="s">
        <v>832</v>
      </c>
      <c r="K115" s="9"/>
      <c r="L115" s="9"/>
      <c r="M115" s="11" t="s">
        <v>64</v>
      </c>
      <c r="N115" s="9" t="s">
        <v>74</v>
      </c>
      <c r="O115" s="9" t="s">
        <v>833</v>
      </c>
      <c r="P115" s="9"/>
    </row>
    <row r="116" customFormat="false" ht="23.85" hidden="false" customHeight="false" outlineLevel="0" collapsed="false">
      <c r="A116" s="9" t="s">
        <v>834</v>
      </c>
      <c r="B116" s="9" t="s">
        <v>98</v>
      </c>
      <c r="C116" s="9" t="s">
        <v>780</v>
      </c>
      <c r="D116" s="9" t="s">
        <v>66</v>
      </c>
      <c r="E116" s="9" t="s">
        <v>85</v>
      </c>
      <c r="F116" s="9" t="s">
        <v>835</v>
      </c>
      <c r="G116" s="9" t="s">
        <v>836</v>
      </c>
      <c r="H116" s="9" t="s">
        <v>807</v>
      </c>
      <c r="I116" s="9" t="s">
        <v>789</v>
      </c>
      <c r="J116" s="9" t="s">
        <v>837</v>
      </c>
      <c r="K116" s="9"/>
      <c r="L116" s="9"/>
      <c r="M116" s="11" t="s">
        <v>73</v>
      </c>
      <c r="N116" s="9" t="s">
        <v>74</v>
      </c>
      <c r="O116" s="9" t="s">
        <v>838</v>
      </c>
      <c r="P116" s="9"/>
    </row>
    <row r="117" customFormat="false" ht="23.85" hidden="false" customHeight="false" outlineLevel="0" collapsed="false">
      <c r="A117" s="9" t="s">
        <v>839</v>
      </c>
      <c r="B117" s="9" t="s">
        <v>98</v>
      </c>
      <c r="C117" s="9" t="s">
        <v>780</v>
      </c>
      <c r="D117" s="9" t="s">
        <v>66</v>
      </c>
      <c r="E117" s="9" t="s">
        <v>85</v>
      </c>
      <c r="F117" s="9" t="s">
        <v>840</v>
      </c>
      <c r="G117" s="9" t="s">
        <v>784</v>
      </c>
      <c r="H117" s="9" t="s">
        <v>841</v>
      </c>
      <c r="I117" s="9" t="s">
        <v>842</v>
      </c>
      <c r="J117" s="9" t="s">
        <v>843</v>
      </c>
      <c r="K117" s="9"/>
      <c r="L117" s="9"/>
      <c r="M117" s="11" t="s">
        <v>82</v>
      </c>
      <c r="N117" s="9" t="s">
        <v>74</v>
      </c>
      <c r="O117" s="9" t="s">
        <v>844</v>
      </c>
      <c r="P117" s="9"/>
    </row>
    <row r="118" customFormat="false" ht="23.85" hidden="false" customHeight="false" outlineLevel="0" collapsed="false">
      <c r="A118" s="9" t="s">
        <v>845</v>
      </c>
      <c r="B118" s="9" t="s">
        <v>98</v>
      </c>
      <c r="C118" s="9" t="s">
        <v>780</v>
      </c>
      <c r="D118" s="9" t="s">
        <v>66</v>
      </c>
      <c r="E118" s="9" t="s">
        <v>85</v>
      </c>
      <c r="F118" s="9" t="s">
        <v>846</v>
      </c>
      <c r="G118" s="9" t="s">
        <v>847</v>
      </c>
      <c r="H118" s="9" t="s">
        <v>848</v>
      </c>
      <c r="I118" s="9" t="s">
        <v>849</v>
      </c>
      <c r="J118" s="9" t="s">
        <v>789</v>
      </c>
      <c r="K118" s="9"/>
      <c r="L118" s="9"/>
      <c r="M118" s="11" t="s">
        <v>82</v>
      </c>
      <c r="N118" s="9" t="s">
        <v>74</v>
      </c>
      <c r="O118" s="9" t="s">
        <v>850</v>
      </c>
      <c r="P118" s="9"/>
    </row>
    <row r="119" customFormat="false" ht="23.85" hidden="false" customHeight="false" outlineLevel="0" collapsed="false">
      <c r="A119" s="9" t="s">
        <v>851</v>
      </c>
      <c r="B119" s="9" t="s">
        <v>98</v>
      </c>
      <c r="C119" s="9" t="s">
        <v>780</v>
      </c>
      <c r="D119" s="9" t="s">
        <v>66</v>
      </c>
      <c r="E119" s="9" t="s">
        <v>129</v>
      </c>
      <c r="F119" s="9" t="s">
        <v>852</v>
      </c>
      <c r="G119" s="9" t="s">
        <v>853</v>
      </c>
      <c r="H119" s="9" t="s">
        <v>848</v>
      </c>
      <c r="I119" s="9" t="s">
        <v>849</v>
      </c>
      <c r="J119" s="9" t="s">
        <v>789</v>
      </c>
      <c r="K119" s="9"/>
      <c r="L119" s="9"/>
      <c r="M119" s="11" t="s">
        <v>98</v>
      </c>
      <c r="N119" s="9" t="s">
        <v>74</v>
      </c>
      <c r="O119" s="9" t="s">
        <v>854</v>
      </c>
      <c r="P119" s="9"/>
    </row>
    <row r="120" customFormat="false" ht="23.85" hidden="false" customHeight="false" outlineLevel="0" collapsed="false">
      <c r="A120" s="9" t="s">
        <v>855</v>
      </c>
      <c r="B120" s="9" t="s">
        <v>98</v>
      </c>
      <c r="C120" s="9" t="s">
        <v>780</v>
      </c>
      <c r="D120" s="9" t="s">
        <v>66</v>
      </c>
      <c r="E120" s="9" t="s">
        <v>85</v>
      </c>
      <c r="F120" s="9" t="s">
        <v>856</v>
      </c>
      <c r="G120" s="9" t="s">
        <v>857</v>
      </c>
      <c r="H120" s="9" t="s">
        <v>858</v>
      </c>
      <c r="I120" s="9" t="s">
        <v>859</v>
      </c>
      <c r="J120" s="9" t="s">
        <v>860</v>
      </c>
      <c r="K120" s="9"/>
      <c r="L120" s="9"/>
      <c r="M120" s="11" t="s">
        <v>73</v>
      </c>
      <c r="N120" s="9" t="s">
        <v>74</v>
      </c>
      <c r="O120" s="9" t="s">
        <v>861</v>
      </c>
      <c r="P120" s="9"/>
    </row>
    <row r="121" customFormat="false" ht="23.85" hidden="false" customHeight="false" outlineLevel="0" collapsed="false">
      <c r="A121" s="9" t="s">
        <v>862</v>
      </c>
      <c r="B121" s="9" t="s">
        <v>98</v>
      </c>
      <c r="C121" s="9" t="s">
        <v>780</v>
      </c>
      <c r="D121" s="9" t="s">
        <v>66</v>
      </c>
      <c r="E121" s="9" t="s">
        <v>129</v>
      </c>
      <c r="F121" s="9" t="s">
        <v>863</v>
      </c>
      <c r="G121" s="9" t="s">
        <v>789</v>
      </c>
      <c r="H121" s="9" t="s">
        <v>819</v>
      </c>
      <c r="I121" s="9" t="s">
        <v>864</v>
      </c>
      <c r="J121" s="9" t="s">
        <v>865</v>
      </c>
      <c r="K121" s="9"/>
      <c r="L121" s="9"/>
      <c r="M121" s="11" t="s">
        <v>73</v>
      </c>
      <c r="N121" s="9" t="s">
        <v>74</v>
      </c>
      <c r="O121" s="9" t="s">
        <v>866</v>
      </c>
      <c r="P121" s="9"/>
    </row>
    <row r="122" customFormat="false" ht="15" hidden="false" customHeight="false" outlineLevel="0" collapsed="false">
      <c r="A122" s="9" t="s">
        <v>867</v>
      </c>
      <c r="B122" s="9" t="s">
        <v>73</v>
      </c>
      <c r="C122" s="9" t="s">
        <v>868</v>
      </c>
      <c r="D122" s="9" t="s">
        <v>66</v>
      </c>
      <c r="E122" s="9" t="s">
        <v>67</v>
      </c>
      <c r="F122" s="9" t="s">
        <v>869</v>
      </c>
      <c r="G122" s="9" t="s">
        <v>870</v>
      </c>
      <c r="H122" s="9" t="s">
        <v>836</v>
      </c>
      <c r="I122" s="9" t="s">
        <v>785</v>
      </c>
      <c r="J122" s="9" t="s">
        <v>871</v>
      </c>
      <c r="K122" s="9"/>
      <c r="L122" s="9"/>
      <c r="M122" s="11" t="s">
        <v>64</v>
      </c>
      <c r="N122" s="9" t="s">
        <v>74</v>
      </c>
      <c r="O122" s="9" t="s">
        <v>872</v>
      </c>
      <c r="P122" s="9"/>
    </row>
    <row r="123" customFormat="false" ht="15" hidden="false" customHeight="false" outlineLevel="0" collapsed="false">
      <c r="A123" s="9" t="s">
        <v>873</v>
      </c>
      <c r="B123" s="9" t="s">
        <v>73</v>
      </c>
      <c r="C123" s="9" t="s">
        <v>868</v>
      </c>
      <c r="D123" s="9" t="s">
        <v>66</v>
      </c>
      <c r="E123" s="9" t="s">
        <v>67</v>
      </c>
      <c r="F123" s="9" t="s">
        <v>874</v>
      </c>
      <c r="G123" s="9" t="s">
        <v>870</v>
      </c>
      <c r="H123" s="9" t="s">
        <v>783</v>
      </c>
      <c r="I123" s="9" t="s">
        <v>871</v>
      </c>
      <c r="J123" s="9" t="s">
        <v>785</v>
      </c>
      <c r="K123" s="9"/>
      <c r="L123" s="9"/>
      <c r="M123" s="11" t="s">
        <v>73</v>
      </c>
      <c r="N123" s="9" t="s">
        <v>74</v>
      </c>
      <c r="O123" s="9" t="s">
        <v>875</v>
      </c>
      <c r="P123" s="9"/>
    </row>
    <row r="124" customFormat="false" ht="15" hidden="false" customHeight="false" outlineLevel="0" collapsed="false">
      <c r="A124" s="9" t="s">
        <v>876</v>
      </c>
      <c r="B124" s="9" t="s">
        <v>73</v>
      </c>
      <c r="C124" s="9" t="s">
        <v>868</v>
      </c>
      <c r="D124" s="9" t="s">
        <v>66</v>
      </c>
      <c r="E124" s="9" t="s">
        <v>85</v>
      </c>
      <c r="F124" s="9" t="s">
        <v>877</v>
      </c>
      <c r="G124" s="9" t="s">
        <v>878</v>
      </c>
      <c r="H124" s="9" t="s">
        <v>879</v>
      </c>
      <c r="I124" s="9" t="s">
        <v>880</v>
      </c>
      <c r="J124" s="9" t="s">
        <v>881</v>
      </c>
      <c r="K124" s="9"/>
      <c r="L124" s="9"/>
      <c r="M124" s="11" t="s">
        <v>98</v>
      </c>
      <c r="N124" s="9" t="s">
        <v>74</v>
      </c>
      <c r="O124" s="9" t="s">
        <v>882</v>
      </c>
      <c r="P124" s="9"/>
    </row>
    <row r="125" customFormat="false" ht="15" hidden="false" customHeight="false" outlineLevel="0" collapsed="false">
      <c r="A125" s="9" t="s">
        <v>883</v>
      </c>
      <c r="B125" s="9" t="s">
        <v>73</v>
      </c>
      <c r="C125" s="9" t="s">
        <v>868</v>
      </c>
      <c r="D125" s="9" t="s">
        <v>66</v>
      </c>
      <c r="E125" s="9" t="s">
        <v>85</v>
      </c>
      <c r="F125" s="9" t="s">
        <v>884</v>
      </c>
      <c r="G125" s="9" t="s">
        <v>878</v>
      </c>
      <c r="H125" s="9" t="s">
        <v>885</v>
      </c>
      <c r="I125" s="9" t="s">
        <v>886</v>
      </c>
      <c r="J125" s="9" t="s">
        <v>879</v>
      </c>
      <c r="K125" s="9"/>
      <c r="L125" s="9"/>
      <c r="M125" s="11" t="s">
        <v>82</v>
      </c>
      <c r="N125" s="9" t="s">
        <v>74</v>
      </c>
      <c r="O125" s="9" t="s">
        <v>887</v>
      </c>
      <c r="P125" s="9"/>
    </row>
    <row r="126" customFormat="false" ht="15" hidden="false" customHeight="false" outlineLevel="0" collapsed="false">
      <c r="A126" s="9" t="s">
        <v>888</v>
      </c>
      <c r="B126" s="9" t="s">
        <v>73</v>
      </c>
      <c r="C126" s="9" t="s">
        <v>868</v>
      </c>
      <c r="D126" s="9" t="s">
        <v>66</v>
      </c>
      <c r="E126" s="9" t="s">
        <v>85</v>
      </c>
      <c r="F126" s="9" t="s">
        <v>889</v>
      </c>
      <c r="G126" s="9" t="s">
        <v>890</v>
      </c>
      <c r="H126" s="9" t="s">
        <v>881</v>
      </c>
      <c r="I126" s="9" t="s">
        <v>886</v>
      </c>
      <c r="J126" s="9" t="s">
        <v>891</v>
      </c>
      <c r="K126" s="9"/>
      <c r="L126" s="9"/>
      <c r="M126" s="11" t="s">
        <v>64</v>
      </c>
      <c r="N126" s="9" t="s">
        <v>74</v>
      </c>
      <c r="O126" s="9" t="s">
        <v>882</v>
      </c>
      <c r="P126" s="9"/>
    </row>
    <row r="127" customFormat="false" ht="15" hidden="false" customHeight="false" outlineLevel="0" collapsed="false">
      <c r="A127" s="9" t="s">
        <v>892</v>
      </c>
      <c r="B127" s="9" t="s">
        <v>73</v>
      </c>
      <c r="C127" s="9" t="s">
        <v>868</v>
      </c>
      <c r="D127" s="9" t="s">
        <v>66</v>
      </c>
      <c r="E127" s="9" t="s">
        <v>85</v>
      </c>
      <c r="F127" s="9" t="s">
        <v>893</v>
      </c>
      <c r="G127" s="9" t="s">
        <v>807</v>
      </c>
      <c r="H127" s="9" t="s">
        <v>871</v>
      </c>
      <c r="I127" s="9" t="s">
        <v>802</v>
      </c>
      <c r="J127" s="9" t="s">
        <v>785</v>
      </c>
      <c r="K127" s="9"/>
      <c r="L127" s="9"/>
      <c r="M127" s="11" t="s">
        <v>73</v>
      </c>
      <c r="N127" s="9" t="s">
        <v>74</v>
      </c>
      <c r="O127" s="9" t="s">
        <v>894</v>
      </c>
      <c r="P127" s="9"/>
    </row>
    <row r="128" customFormat="false" ht="23.85" hidden="false" customHeight="false" outlineLevel="0" collapsed="false">
      <c r="A128" s="9" t="s">
        <v>895</v>
      </c>
      <c r="B128" s="9" t="s">
        <v>73</v>
      </c>
      <c r="C128" s="9" t="s">
        <v>868</v>
      </c>
      <c r="D128" s="9" t="s">
        <v>66</v>
      </c>
      <c r="E128" s="9" t="s">
        <v>67</v>
      </c>
      <c r="F128" s="9" t="s">
        <v>896</v>
      </c>
      <c r="G128" s="9" t="s">
        <v>897</v>
      </c>
      <c r="H128" s="9" t="s">
        <v>898</v>
      </c>
      <c r="I128" s="9" t="s">
        <v>899</v>
      </c>
      <c r="J128" s="9" t="s">
        <v>900</v>
      </c>
      <c r="K128" s="9"/>
      <c r="L128" s="9"/>
      <c r="M128" s="11" t="s">
        <v>82</v>
      </c>
      <c r="N128" s="9" t="s">
        <v>74</v>
      </c>
      <c r="O128" s="9" t="s">
        <v>901</v>
      </c>
      <c r="P128" s="9"/>
    </row>
    <row r="129" customFormat="false" ht="15" hidden="false" customHeight="false" outlineLevel="0" collapsed="false">
      <c r="A129" s="9" t="s">
        <v>902</v>
      </c>
      <c r="B129" s="9" t="s">
        <v>73</v>
      </c>
      <c r="C129" s="9" t="s">
        <v>868</v>
      </c>
      <c r="D129" s="9" t="s">
        <v>66</v>
      </c>
      <c r="E129" s="9" t="s">
        <v>85</v>
      </c>
      <c r="F129" s="9" t="s">
        <v>903</v>
      </c>
      <c r="G129" s="9" t="s">
        <v>82</v>
      </c>
      <c r="H129" s="9" t="s">
        <v>98</v>
      </c>
      <c r="I129" s="9" t="s">
        <v>897</v>
      </c>
      <c r="J129" s="9" t="s">
        <v>64</v>
      </c>
      <c r="K129" s="9"/>
      <c r="L129" s="9"/>
      <c r="M129" s="11" t="s">
        <v>82</v>
      </c>
      <c r="N129" s="9" t="s">
        <v>74</v>
      </c>
      <c r="O129" s="9" t="s">
        <v>904</v>
      </c>
      <c r="P129" s="9"/>
    </row>
    <row r="130" customFormat="false" ht="15" hidden="false" customHeight="false" outlineLevel="0" collapsed="false">
      <c r="A130" s="9" t="s">
        <v>905</v>
      </c>
      <c r="B130" s="9" t="s">
        <v>73</v>
      </c>
      <c r="C130" s="9" t="s">
        <v>868</v>
      </c>
      <c r="D130" s="9" t="s">
        <v>66</v>
      </c>
      <c r="E130" s="9" t="s">
        <v>85</v>
      </c>
      <c r="F130" s="9" t="s">
        <v>906</v>
      </c>
      <c r="G130" s="9" t="s">
        <v>907</v>
      </c>
      <c r="H130" s="9" t="s">
        <v>908</v>
      </c>
      <c r="I130" s="9" t="s">
        <v>909</v>
      </c>
      <c r="J130" s="9" t="s">
        <v>910</v>
      </c>
      <c r="K130" s="9"/>
      <c r="L130" s="9"/>
      <c r="M130" s="11" t="s">
        <v>73</v>
      </c>
      <c r="N130" s="9" t="s">
        <v>74</v>
      </c>
      <c r="O130" s="9" t="s">
        <v>911</v>
      </c>
      <c r="P130" s="9"/>
    </row>
    <row r="131" customFormat="false" ht="15" hidden="false" customHeight="false" outlineLevel="0" collapsed="false">
      <c r="A131" s="9" t="s">
        <v>912</v>
      </c>
      <c r="B131" s="9" t="s">
        <v>73</v>
      </c>
      <c r="C131" s="9" t="s">
        <v>868</v>
      </c>
      <c r="D131" s="9" t="s">
        <v>66</v>
      </c>
      <c r="E131" s="9" t="s">
        <v>85</v>
      </c>
      <c r="F131" s="9" t="s">
        <v>913</v>
      </c>
      <c r="G131" s="9" t="s">
        <v>914</v>
      </c>
      <c r="H131" s="9" t="s">
        <v>915</v>
      </c>
      <c r="I131" s="9" t="s">
        <v>916</v>
      </c>
      <c r="J131" s="9" t="s">
        <v>917</v>
      </c>
      <c r="K131" s="9"/>
      <c r="L131" s="9"/>
      <c r="M131" s="11" t="s">
        <v>98</v>
      </c>
      <c r="N131" s="9" t="s">
        <v>74</v>
      </c>
      <c r="O131" s="9" t="s">
        <v>918</v>
      </c>
      <c r="P131" s="9"/>
    </row>
    <row r="132" customFormat="false" ht="23.85" hidden="false" customHeight="false" outlineLevel="0" collapsed="false">
      <c r="A132" s="9" t="s">
        <v>919</v>
      </c>
      <c r="B132" s="9" t="s">
        <v>73</v>
      </c>
      <c r="C132" s="9" t="s">
        <v>868</v>
      </c>
      <c r="D132" s="9" t="s">
        <v>66</v>
      </c>
      <c r="E132" s="9" t="s">
        <v>85</v>
      </c>
      <c r="F132" s="9" t="s">
        <v>920</v>
      </c>
      <c r="G132" s="9" t="s">
        <v>921</v>
      </c>
      <c r="H132" s="9" t="s">
        <v>922</v>
      </c>
      <c r="I132" s="9" t="s">
        <v>923</v>
      </c>
      <c r="J132" s="9" t="s">
        <v>924</v>
      </c>
      <c r="K132" s="9"/>
      <c r="L132" s="9"/>
      <c r="M132" s="11" t="s">
        <v>64</v>
      </c>
      <c r="N132" s="9" t="s">
        <v>74</v>
      </c>
      <c r="O132" s="9" t="s">
        <v>925</v>
      </c>
      <c r="P132" s="9"/>
    </row>
    <row r="133" customFormat="false" ht="15" hidden="false" customHeight="false" outlineLevel="0" collapsed="false">
      <c r="A133" s="9" t="s">
        <v>926</v>
      </c>
      <c r="B133" s="9" t="s">
        <v>73</v>
      </c>
      <c r="C133" s="9" t="s">
        <v>868</v>
      </c>
      <c r="D133" s="9" t="s">
        <v>66</v>
      </c>
      <c r="E133" s="9" t="s">
        <v>67</v>
      </c>
      <c r="F133" s="9" t="s">
        <v>927</v>
      </c>
      <c r="G133" s="9" t="s">
        <v>891</v>
      </c>
      <c r="H133" s="9" t="s">
        <v>885</v>
      </c>
      <c r="I133" s="9" t="s">
        <v>928</v>
      </c>
      <c r="J133" s="9" t="s">
        <v>929</v>
      </c>
      <c r="K133" s="9"/>
      <c r="L133" s="9"/>
      <c r="M133" s="11" t="s">
        <v>73</v>
      </c>
      <c r="N133" s="9" t="s">
        <v>74</v>
      </c>
      <c r="O133" s="9" t="s">
        <v>930</v>
      </c>
      <c r="P133" s="9"/>
    </row>
    <row r="134" customFormat="false" ht="15" hidden="false" customHeight="false" outlineLevel="0" collapsed="false">
      <c r="A134" s="9" t="s">
        <v>931</v>
      </c>
      <c r="B134" s="9" t="s">
        <v>73</v>
      </c>
      <c r="C134" s="9" t="s">
        <v>868</v>
      </c>
      <c r="D134" s="9" t="s">
        <v>66</v>
      </c>
      <c r="E134" s="9" t="s">
        <v>85</v>
      </c>
      <c r="F134" s="9" t="s">
        <v>932</v>
      </c>
      <c r="G134" s="9" t="s">
        <v>879</v>
      </c>
      <c r="H134" s="9" t="s">
        <v>933</v>
      </c>
      <c r="I134" s="9" t="s">
        <v>878</v>
      </c>
      <c r="J134" s="9" t="s">
        <v>934</v>
      </c>
      <c r="K134" s="9"/>
      <c r="L134" s="9"/>
      <c r="M134" s="11" t="s">
        <v>98</v>
      </c>
      <c r="N134" s="9" t="s">
        <v>74</v>
      </c>
      <c r="O134" s="9" t="s">
        <v>935</v>
      </c>
      <c r="P134" s="9"/>
    </row>
    <row r="135" customFormat="false" ht="15" hidden="false" customHeight="false" outlineLevel="0" collapsed="false">
      <c r="A135" s="9" t="s">
        <v>936</v>
      </c>
      <c r="B135" s="9" t="s">
        <v>73</v>
      </c>
      <c r="C135" s="9" t="s">
        <v>868</v>
      </c>
      <c r="D135" s="9" t="s">
        <v>66</v>
      </c>
      <c r="E135" s="9" t="s">
        <v>129</v>
      </c>
      <c r="F135" s="9" t="s">
        <v>937</v>
      </c>
      <c r="G135" s="9" t="s">
        <v>938</v>
      </c>
      <c r="H135" s="9" t="s">
        <v>939</v>
      </c>
      <c r="I135" s="9" t="s">
        <v>871</v>
      </c>
      <c r="J135" s="9" t="s">
        <v>836</v>
      </c>
      <c r="K135" s="9"/>
      <c r="L135" s="9"/>
      <c r="M135" s="11" t="s">
        <v>64</v>
      </c>
      <c r="N135" s="9" t="s">
        <v>74</v>
      </c>
      <c r="O135" s="9" t="s">
        <v>940</v>
      </c>
      <c r="P135" s="9"/>
    </row>
    <row r="136" customFormat="false" ht="15" hidden="false" customHeight="false" outlineLevel="0" collapsed="false">
      <c r="A136" s="9" t="s">
        <v>941</v>
      </c>
      <c r="B136" s="9" t="s">
        <v>73</v>
      </c>
      <c r="C136" s="9" t="s">
        <v>868</v>
      </c>
      <c r="D136" s="9" t="s">
        <v>66</v>
      </c>
      <c r="E136" s="9" t="s">
        <v>85</v>
      </c>
      <c r="F136" s="9" t="s">
        <v>942</v>
      </c>
      <c r="G136" s="9" t="s">
        <v>943</v>
      </c>
      <c r="H136" s="9" t="s">
        <v>944</v>
      </c>
      <c r="I136" s="9" t="s">
        <v>945</v>
      </c>
      <c r="J136" s="9" t="s">
        <v>946</v>
      </c>
      <c r="K136" s="9"/>
      <c r="L136" s="9"/>
      <c r="M136" s="11" t="s">
        <v>82</v>
      </c>
      <c r="N136" s="9" t="s">
        <v>74</v>
      </c>
      <c r="O136" s="9" t="s">
        <v>947</v>
      </c>
      <c r="P136" s="9"/>
    </row>
    <row r="137" customFormat="false" ht="15" hidden="false" customHeight="false" outlineLevel="0" collapsed="false">
      <c r="A137" s="9" t="s">
        <v>948</v>
      </c>
      <c r="B137" s="9" t="s">
        <v>73</v>
      </c>
      <c r="C137" s="9" t="s">
        <v>868</v>
      </c>
      <c r="D137" s="9" t="s">
        <v>66</v>
      </c>
      <c r="E137" s="9" t="s">
        <v>85</v>
      </c>
      <c r="F137" s="9" t="s">
        <v>949</v>
      </c>
      <c r="G137" s="9" t="s">
        <v>950</v>
      </c>
      <c r="H137" s="9" t="s">
        <v>951</v>
      </c>
      <c r="I137" s="9" t="s">
        <v>952</v>
      </c>
      <c r="J137" s="9" t="s">
        <v>953</v>
      </c>
      <c r="K137" s="9"/>
      <c r="L137" s="9"/>
      <c r="M137" s="11" t="s">
        <v>73</v>
      </c>
      <c r="N137" s="9" t="s">
        <v>74</v>
      </c>
      <c r="O137" s="9" t="s">
        <v>954</v>
      </c>
      <c r="P137" s="9"/>
    </row>
    <row r="138" customFormat="false" ht="15" hidden="false" customHeight="false" outlineLevel="0" collapsed="false">
      <c r="A138" s="9" t="s">
        <v>955</v>
      </c>
      <c r="B138" s="9" t="s">
        <v>73</v>
      </c>
      <c r="C138" s="9" t="s">
        <v>868</v>
      </c>
      <c r="D138" s="9" t="s">
        <v>66</v>
      </c>
      <c r="E138" s="9" t="s">
        <v>85</v>
      </c>
      <c r="F138" s="9" t="s">
        <v>956</v>
      </c>
      <c r="G138" s="9" t="s">
        <v>957</v>
      </c>
      <c r="H138" s="9" t="s">
        <v>908</v>
      </c>
      <c r="I138" s="9" t="s">
        <v>909</v>
      </c>
      <c r="J138" s="9" t="s">
        <v>958</v>
      </c>
      <c r="K138" s="9"/>
      <c r="L138" s="9"/>
      <c r="M138" s="11" t="s">
        <v>73</v>
      </c>
      <c r="N138" s="9" t="s">
        <v>74</v>
      </c>
      <c r="O138" s="9" t="s">
        <v>959</v>
      </c>
      <c r="P138" s="9"/>
    </row>
    <row r="139" customFormat="false" ht="15" hidden="false" customHeight="false" outlineLevel="0" collapsed="false">
      <c r="A139" s="9" t="s">
        <v>960</v>
      </c>
      <c r="B139" s="9" t="s">
        <v>73</v>
      </c>
      <c r="C139" s="9" t="s">
        <v>868</v>
      </c>
      <c r="D139" s="9" t="s">
        <v>66</v>
      </c>
      <c r="E139" s="9" t="s">
        <v>85</v>
      </c>
      <c r="F139" s="9" t="s">
        <v>961</v>
      </c>
      <c r="G139" s="9" t="s">
        <v>962</v>
      </c>
      <c r="H139" s="9" t="s">
        <v>963</v>
      </c>
      <c r="I139" s="9" t="s">
        <v>923</v>
      </c>
      <c r="J139" s="9" t="s">
        <v>922</v>
      </c>
      <c r="K139" s="9"/>
      <c r="L139" s="9"/>
      <c r="M139" s="11" t="s">
        <v>73</v>
      </c>
      <c r="N139" s="9" t="s">
        <v>74</v>
      </c>
      <c r="O139" s="9" t="s">
        <v>964</v>
      </c>
      <c r="P139" s="9"/>
    </row>
    <row r="140" customFormat="false" ht="15" hidden="false" customHeight="false" outlineLevel="0" collapsed="false">
      <c r="A140" s="9" t="s">
        <v>965</v>
      </c>
      <c r="B140" s="9" t="s">
        <v>73</v>
      </c>
      <c r="C140" s="9" t="s">
        <v>868</v>
      </c>
      <c r="D140" s="9" t="s">
        <v>66</v>
      </c>
      <c r="E140" s="9" t="s">
        <v>85</v>
      </c>
      <c r="F140" s="9" t="s">
        <v>966</v>
      </c>
      <c r="G140" s="9" t="s">
        <v>790</v>
      </c>
      <c r="H140" s="9" t="s">
        <v>878</v>
      </c>
      <c r="I140" s="9" t="s">
        <v>784</v>
      </c>
      <c r="J140" s="9" t="s">
        <v>782</v>
      </c>
      <c r="K140" s="9"/>
      <c r="L140" s="9"/>
      <c r="M140" s="11" t="s">
        <v>73</v>
      </c>
      <c r="N140" s="9" t="s">
        <v>74</v>
      </c>
      <c r="O140" s="9" t="s">
        <v>967</v>
      </c>
      <c r="P140" s="9"/>
    </row>
    <row r="141" customFormat="false" ht="15" hidden="false" customHeight="false" outlineLevel="0" collapsed="false">
      <c r="A141" s="9" t="s">
        <v>968</v>
      </c>
      <c r="B141" s="9" t="s">
        <v>73</v>
      </c>
      <c r="C141" s="9" t="s">
        <v>868</v>
      </c>
      <c r="D141" s="9" t="s">
        <v>66</v>
      </c>
      <c r="E141" s="9" t="s">
        <v>85</v>
      </c>
      <c r="F141" s="9" t="s">
        <v>969</v>
      </c>
      <c r="G141" s="9" t="s">
        <v>970</v>
      </c>
      <c r="H141" s="9" t="s">
        <v>971</v>
      </c>
      <c r="I141" s="9" t="s">
        <v>972</v>
      </c>
      <c r="J141" s="9" t="s">
        <v>973</v>
      </c>
      <c r="K141" s="9"/>
      <c r="L141" s="9"/>
      <c r="M141" s="11" t="s">
        <v>64</v>
      </c>
      <c r="N141" s="9" t="s">
        <v>74</v>
      </c>
      <c r="O141" s="9" t="s">
        <v>974</v>
      </c>
      <c r="P141" s="9"/>
    </row>
    <row r="142" customFormat="false" ht="15" hidden="false" customHeight="false" outlineLevel="0" collapsed="false">
      <c r="A142" s="9" t="s">
        <v>975</v>
      </c>
      <c r="B142" s="9" t="s">
        <v>73</v>
      </c>
      <c r="C142" s="9" t="s">
        <v>868</v>
      </c>
      <c r="D142" s="9" t="s">
        <v>66</v>
      </c>
      <c r="E142" s="9" t="s">
        <v>85</v>
      </c>
      <c r="F142" s="9" t="s">
        <v>976</v>
      </c>
      <c r="G142" s="9" t="s">
        <v>977</v>
      </c>
      <c r="H142" s="9" t="s">
        <v>782</v>
      </c>
      <c r="I142" s="9" t="s">
        <v>783</v>
      </c>
      <c r="J142" s="9" t="s">
        <v>784</v>
      </c>
      <c r="K142" s="9"/>
      <c r="L142" s="9"/>
      <c r="M142" s="11" t="s">
        <v>64</v>
      </c>
      <c r="N142" s="9" t="s">
        <v>74</v>
      </c>
      <c r="O142" s="9" t="s">
        <v>978</v>
      </c>
      <c r="P142" s="9"/>
    </row>
    <row r="143" customFormat="false" ht="15" hidden="false" customHeight="false" outlineLevel="0" collapsed="false">
      <c r="A143" s="9" t="s">
        <v>979</v>
      </c>
      <c r="B143" s="9" t="s">
        <v>73</v>
      </c>
      <c r="C143" s="9" t="s">
        <v>868</v>
      </c>
      <c r="D143" s="9" t="s">
        <v>66</v>
      </c>
      <c r="E143" s="9" t="s">
        <v>85</v>
      </c>
      <c r="F143" s="9" t="s">
        <v>980</v>
      </c>
      <c r="G143" s="9" t="s">
        <v>836</v>
      </c>
      <c r="H143" s="9" t="s">
        <v>934</v>
      </c>
      <c r="I143" s="9" t="s">
        <v>981</v>
      </c>
      <c r="J143" s="9" t="s">
        <v>878</v>
      </c>
      <c r="K143" s="9"/>
      <c r="L143" s="9"/>
      <c r="M143" s="11" t="s">
        <v>98</v>
      </c>
      <c r="N143" s="9" t="s">
        <v>74</v>
      </c>
      <c r="O143" s="9" t="s">
        <v>982</v>
      </c>
      <c r="P143" s="9"/>
    </row>
    <row r="144" customFormat="false" ht="15" hidden="false" customHeight="false" outlineLevel="0" collapsed="false">
      <c r="A144" s="9" t="s">
        <v>983</v>
      </c>
      <c r="B144" s="9" t="s">
        <v>73</v>
      </c>
      <c r="C144" s="9" t="s">
        <v>868</v>
      </c>
      <c r="D144" s="9" t="s">
        <v>66</v>
      </c>
      <c r="E144" s="9" t="s">
        <v>129</v>
      </c>
      <c r="F144" s="9" t="s">
        <v>984</v>
      </c>
      <c r="G144" s="9" t="s">
        <v>985</v>
      </c>
      <c r="H144" s="9" t="s">
        <v>986</v>
      </c>
      <c r="I144" s="9" t="s">
        <v>987</v>
      </c>
      <c r="J144" s="9" t="s">
        <v>988</v>
      </c>
      <c r="K144" s="9"/>
      <c r="L144" s="9"/>
      <c r="M144" s="11" t="s">
        <v>73</v>
      </c>
      <c r="N144" s="9" t="s">
        <v>74</v>
      </c>
      <c r="O144" s="9" t="s">
        <v>989</v>
      </c>
      <c r="P144" s="9"/>
    </row>
    <row r="145" customFormat="false" ht="15" hidden="false" customHeight="false" outlineLevel="0" collapsed="false">
      <c r="A145" s="9" t="s">
        <v>990</v>
      </c>
      <c r="B145" s="9" t="s">
        <v>73</v>
      </c>
      <c r="C145" s="9" t="s">
        <v>868</v>
      </c>
      <c r="D145" s="9" t="s">
        <v>66</v>
      </c>
      <c r="E145" s="9" t="s">
        <v>85</v>
      </c>
      <c r="F145" s="9" t="s">
        <v>991</v>
      </c>
      <c r="G145" s="9" t="s">
        <v>891</v>
      </c>
      <c r="H145" s="9" t="s">
        <v>881</v>
      </c>
      <c r="I145" s="9" t="s">
        <v>886</v>
      </c>
      <c r="J145" s="9" t="s">
        <v>885</v>
      </c>
      <c r="K145" s="9"/>
      <c r="L145" s="9"/>
      <c r="M145" s="11" t="s">
        <v>98</v>
      </c>
      <c r="N145" s="9" t="s">
        <v>74</v>
      </c>
      <c r="O145" s="9" t="s">
        <v>992</v>
      </c>
      <c r="P145" s="9"/>
    </row>
    <row r="146" customFormat="false" ht="15" hidden="false" customHeight="false" outlineLevel="0" collapsed="false">
      <c r="A146" s="9" t="s">
        <v>993</v>
      </c>
      <c r="B146" s="9" t="s">
        <v>73</v>
      </c>
      <c r="C146" s="9" t="s">
        <v>868</v>
      </c>
      <c r="D146" s="9" t="s">
        <v>66</v>
      </c>
      <c r="E146" s="9" t="s">
        <v>85</v>
      </c>
      <c r="F146" s="9" t="s">
        <v>994</v>
      </c>
      <c r="G146" s="9" t="s">
        <v>801</v>
      </c>
      <c r="H146" s="9" t="s">
        <v>995</v>
      </c>
      <c r="I146" s="9" t="s">
        <v>996</v>
      </c>
      <c r="J146" s="9" t="s">
        <v>997</v>
      </c>
      <c r="K146" s="9"/>
      <c r="L146" s="9"/>
      <c r="M146" s="11" t="s">
        <v>73</v>
      </c>
      <c r="N146" s="9" t="s">
        <v>74</v>
      </c>
      <c r="O146" s="9" t="s">
        <v>998</v>
      </c>
      <c r="P146" s="9"/>
    </row>
    <row r="147" customFormat="false" ht="23.85" hidden="false" customHeight="false" outlineLevel="0" collapsed="false">
      <c r="A147" s="9" t="s">
        <v>999</v>
      </c>
      <c r="B147" s="9" t="s">
        <v>73</v>
      </c>
      <c r="C147" s="9" t="s">
        <v>868</v>
      </c>
      <c r="D147" s="9" t="s">
        <v>66</v>
      </c>
      <c r="E147" s="9" t="s">
        <v>129</v>
      </c>
      <c r="F147" s="9" t="s">
        <v>1000</v>
      </c>
      <c r="G147" s="9" t="s">
        <v>1001</v>
      </c>
      <c r="H147" s="9" t="s">
        <v>1002</v>
      </c>
      <c r="I147" s="9" t="s">
        <v>1003</v>
      </c>
      <c r="J147" s="9" t="s">
        <v>1004</v>
      </c>
      <c r="K147" s="9"/>
      <c r="L147" s="9"/>
      <c r="M147" s="11" t="s">
        <v>82</v>
      </c>
      <c r="N147" s="9" t="s">
        <v>74</v>
      </c>
      <c r="O147" s="9" t="s">
        <v>1005</v>
      </c>
      <c r="P147" s="9"/>
    </row>
    <row r="148" customFormat="false" ht="23.85" hidden="false" customHeight="false" outlineLevel="0" collapsed="false">
      <c r="A148" s="9" t="s">
        <v>1006</v>
      </c>
      <c r="B148" s="9" t="s">
        <v>73</v>
      </c>
      <c r="C148" s="9" t="s">
        <v>868</v>
      </c>
      <c r="D148" s="9" t="s">
        <v>66</v>
      </c>
      <c r="E148" s="9" t="s">
        <v>85</v>
      </c>
      <c r="F148" s="9" t="s">
        <v>1007</v>
      </c>
      <c r="G148" s="9" t="s">
        <v>1008</v>
      </c>
      <c r="H148" s="9" t="s">
        <v>1009</v>
      </c>
      <c r="I148" s="9" t="s">
        <v>1010</v>
      </c>
      <c r="J148" s="9" t="s">
        <v>1011</v>
      </c>
      <c r="K148" s="9"/>
      <c r="L148" s="9"/>
      <c r="M148" s="11" t="s">
        <v>98</v>
      </c>
      <c r="N148" s="9" t="s">
        <v>74</v>
      </c>
      <c r="O148" s="9" t="s">
        <v>1012</v>
      </c>
      <c r="P148" s="9"/>
    </row>
    <row r="149" customFormat="false" ht="15" hidden="false" customHeight="false" outlineLevel="0" collapsed="false">
      <c r="A149" s="9" t="s">
        <v>1013</v>
      </c>
      <c r="B149" s="9" t="s">
        <v>73</v>
      </c>
      <c r="C149" s="9" t="s">
        <v>868</v>
      </c>
      <c r="D149" s="9" t="s">
        <v>66</v>
      </c>
      <c r="E149" s="9" t="s">
        <v>85</v>
      </c>
      <c r="F149" s="9" t="s">
        <v>1014</v>
      </c>
      <c r="G149" s="9" t="s">
        <v>1015</v>
      </c>
      <c r="H149" s="9" t="s">
        <v>1016</v>
      </c>
      <c r="I149" s="9" t="s">
        <v>1017</v>
      </c>
      <c r="J149" s="9" t="s">
        <v>1018</v>
      </c>
      <c r="K149" s="9"/>
      <c r="L149" s="9"/>
      <c r="M149" s="11" t="s">
        <v>98</v>
      </c>
      <c r="N149" s="9" t="s">
        <v>74</v>
      </c>
      <c r="O149" s="9" t="s">
        <v>1019</v>
      </c>
      <c r="P149" s="9"/>
    </row>
    <row r="150" customFormat="false" ht="23.85" hidden="false" customHeight="false" outlineLevel="0" collapsed="false">
      <c r="A150" s="9" t="s">
        <v>1020</v>
      </c>
      <c r="B150" s="9" t="s">
        <v>73</v>
      </c>
      <c r="C150" s="9" t="s">
        <v>868</v>
      </c>
      <c r="D150" s="9" t="s">
        <v>66</v>
      </c>
      <c r="E150" s="9" t="s">
        <v>129</v>
      </c>
      <c r="F150" s="9" t="s">
        <v>1021</v>
      </c>
      <c r="G150" s="9" t="s">
        <v>891</v>
      </c>
      <c r="H150" s="9" t="s">
        <v>1022</v>
      </c>
      <c r="I150" s="9" t="s">
        <v>1023</v>
      </c>
      <c r="J150" s="9" t="s">
        <v>886</v>
      </c>
      <c r="K150" s="9"/>
      <c r="L150" s="9"/>
      <c r="M150" s="11" t="s">
        <v>98</v>
      </c>
      <c r="N150" s="9" t="s">
        <v>74</v>
      </c>
      <c r="O150" s="9" t="s">
        <v>1024</v>
      </c>
      <c r="P150" s="9"/>
    </row>
    <row r="151" customFormat="false" ht="23.85" hidden="false" customHeight="false" outlineLevel="0" collapsed="false">
      <c r="A151" s="9" t="s">
        <v>1025</v>
      </c>
      <c r="B151" s="9" t="s">
        <v>73</v>
      </c>
      <c r="C151" s="9" t="s">
        <v>868</v>
      </c>
      <c r="D151" s="9" t="s">
        <v>66</v>
      </c>
      <c r="E151" s="9" t="s">
        <v>85</v>
      </c>
      <c r="F151" s="9" t="s">
        <v>1026</v>
      </c>
      <c r="G151" s="9" t="s">
        <v>790</v>
      </c>
      <c r="H151" s="9" t="s">
        <v>784</v>
      </c>
      <c r="I151" s="9" t="s">
        <v>807</v>
      </c>
      <c r="J151" s="9" t="s">
        <v>782</v>
      </c>
      <c r="K151" s="9"/>
      <c r="L151" s="9"/>
      <c r="M151" s="11" t="s">
        <v>64</v>
      </c>
      <c r="N151" s="9" t="s">
        <v>74</v>
      </c>
      <c r="O151" s="9" t="s">
        <v>1027</v>
      </c>
      <c r="P151" s="9"/>
    </row>
    <row r="152" customFormat="false" ht="23.85" hidden="false" customHeight="false" outlineLevel="0" collapsed="false">
      <c r="A152" s="9" t="s">
        <v>1028</v>
      </c>
      <c r="B152" s="9" t="s">
        <v>1029</v>
      </c>
      <c r="C152" s="9" t="s">
        <v>65</v>
      </c>
      <c r="D152" s="9" t="s">
        <v>1030</v>
      </c>
      <c r="E152" s="9" t="s">
        <v>85</v>
      </c>
      <c r="F152" s="9" t="s">
        <v>1031</v>
      </c>
      <c r="G152" s="9" t="s">
        <v>119</v>
      </c>
      <c r="H152" s="9" t="s">
        <v>116</v>
      </c>
      <c r="I152" s="9" t="s">
        <v>118</v>
      </c>
      <c r="J152" s="9" t="s">
        <v>1032</v>
      </c>
      <c r="K152" s="9" t="s">
        <v>87</v>
      </c>
      <c r="L152" s="9" t="s">
        <v>1033</v>
      </c>
      <c r="M152" s="11" t="s">
        <v>1034</v>
      </c>
      <c r="N152" s="9" t="s">
        <v>1035</v>
      </c>
      <c r="O152" s="9" t="s">
        <v>1036</v>
      </c>
      <c r="P152" s="9"/>
    </row>
    <row r="153" customFormat="false" ht="23.85" hidden="false" customHeight="false" outlineLevel="0" collapsed="false">
      <c r="A153" s="9" t="s">
        <v>1037</v>
      </c>
      <c r="B153" s="9" t="s">
        <v>1029</v>
      </c>
      <c r="C153" s="9" t="s">
        <v>65</v>
      </c>
      <c r="D153" s="9" t="s">
        <v>1030</v>
      </c>
      <c r="E153" s="9" t="s">
        <v>85</v>
      </c>
      <c r="F153" s="9" t="s">
        <v>1038</v>
      </c>
      <c r="G153" s="9" t="s">
        <v>1039</v>
      </c>
      <c r="H153" s="9" t="s">
        <v>1040</v>
      </c>
      <c r="I153" s="9" t="s">
        <v>1041</v>
      </c>
      <c r="J153" s="9" t="s">
        <v>1042</v>
      </c>
      <c r="K153" s="9" t="s">
        <v>1043</v>
      </c>
      <c r="L153" s="9" t="s">
        <v>1044</v>
      </c>
      <c r="M153" s="11" t="s">
        <v>1045</v>
      </c>
      <c r="N153" s="9" t="s">
        <v>1035</v>
      </c>
      <c r="O153" s="9" t="s">
        <v>1046</v>
      </c>
      <c r="P153" s="9"/>
    </row>
    <row r="154" customFormat="false" ht="23.85" hidden="false" customHeight="false" outlineLevel="0" collapsed="false">
      <c r="A154" s="9" t="s">
        <v>1047</v>
      </c>
      <c r="B154" s="9" t="s">
        <v>1029</v>
      </c>
      <c r="C154" s="9" t="s">
        <v>65</v>
      </c>
      <c r="D154" s="9" t="s">
        <v>1030</v>
      </c>
      <c r="E154" s="9" t="s">
        <v>85</v>
      </c>
      <c r="F154" s="9" t="s">
        <v>1048</v>
      </c>
      <c r="G154" s="9" t="s">
        <v>1049</v>
      </c>
      <c r="H154" s="9" t="s">
        <v>231</v>
      </c>
      <c r="I154" s="9" t="s">
        <v>1050</v>
      </c>
      <c r="J154" s="9" t="s">
        <v>406</v>
      </c>
      <c r="K154" s="9" t="s">
        <v>1051</v>
      </c>
      <c r="L154" s="9" t="s">
        <v>1052</v>
      </c>
      <c r="M154" s="11" t="s">
        <v>1053</v>
      </c>
      <c r="N154" s="9" t="s">
        <v>1035</v>
      </c>
      <c r="O154" s="9" t="s">
        <v>1054</v>
      </c>
      <c r="P154" s="9"/>
    </row>
    <row r="155" customFormat="false" ht="23.85" hidden="false" customHeight="false" outlineLevel="0" collapsed="false">
      <c r="A155" s="9" t="s">
        <v>1055</v>
      </c>
      <c r="B155" s="9" t="s">
        <v>1029</v>
      </c>
      <c r="C155" s="9" t="s">
        <v>65</v>
      </c>
      <c r="D155" s="9" t="s">
        <v>1030</v>
      </c>
      <c r="E155" s="9" t="s">
        <v>129</v>
      </c>
      <c r="F155" s="9" t="s">
        <v>1056</v>
      </c>
      <c r="G155" s="9" t="s">
        <v>1057</v>
      </c>
      <c r="H155" s="9" t="s">
        <v>1058</v>
      </c>
      <c r="I155" s="9" t="s">
        <v>1059</v>
      </c>
      <c r="J155" s="9" t="s">
        <v>721</v>
      </c>
      <c r="K155" s="9" t="s">
        <v>1060</v>
      </c>
      <c r="L155" s="9" t="s">
        <v>1061</v>
      </c>
      <c r="M155" s="11" t="s">
        <v>1053</v>
      </c>
      <c r="N155" s="9" t="s">
        <v>1035</v>
      </c>
      <c r="O155" s="9" t="s">
        <v>1062</v>
      </c>
      <c r="P155" s="9"/>
    </row>
    <row r="156" customFormat="false" ht="35.05" hidden="false" customHeight="false" outlineLevel="0" collapsed="false">
      <c r="A156" s="9" t="s">
        <v>1063</v>
      </c>
      <c r="B156" s="9" t="s">
        <v>1029</v>
      </c>
      <c r="C156" s="9" t="s">
        <v>65</v>
      </c>
      <c r="D156" s="9" t="s">
        <v>1030</v>
      </c>
      <c r="E156" s="9" t="s">
        <v>85</v>
      </c>
      <c r="F156" s="9" t="s">
        <v>1064</v>
      </c>
      <c r="G156" s="9" t="s">
        <v>496</v>
      </c>
      <c r="H156" s="9" t="s">
        <v>1065</v>
      </c>
      <c r="I156" s="9" t="s">
        <v>1066</v>
      </c>
      <c r="J156" s="9" t="s">
        <v>1067</v>
      </c>
      <c r="K156" s="9" t="s">
        <v>1068</v>
      </c>
      <c r="L156" s="9" t="s">
        <v>1069</v>
      </c>
      <c r="M156" s="11" t="s">
        <v>1070</v>
      </c>
      <c r="N156" s="9" t="s">
        <v>1035</v>
      </c>
      <c r="O156" s="9" t="s">
        <v>1071</v>
      </c>
      <c r="P156" s="9"/>
    </row>
    <row r="157" customFormat="false" ht="23.85" hidden="false" customHeight="false" outlineLevel="0" collapsed="false">
      <c r="A157" s="9" t="s">
        <v>1072</v>
      </c>
      <c r="B157" s="9" t="s">
        <v>1029</v>
      </c>
      <c r="C157" s="9" t="s">
        <v>65</v>
      </c>
      <c r="D157" s="9" t="s">
        <v>1030</v>
      </c>
      <c r="E157" s="9" t="s">
        <v>129</v>
      </c>
      <c r="F157" s="9" t="s">
        <v>1073</v>
      </c>
      <c r="G157" s="9" t="s">
        <v>1074</v>
      </c>
      <c r="H157" s="9" t="s">
        <v>1075</v>
      </c>
      <c r="I157" s="9" t="s">
        <v>1076</v>
      </c>
      <c r="J157" s="9" t="s">
        <v>1077</v>
      </c>
      <c r="K157" s="9" t="s">
        <v>1078</v>
      </c>
      <c r="L157" s="9" t="s">
        <v>1079</v>
      </c>
      <c r="M157" s="11" t="s">
        <v>1080</v>
      </c>
      <c r="N157" s="9" t="s">
        <v>1035</v>
      </c>
      <c r="O157" s="9" t="s">
        <v>1081</v>
      </c>
      <c r="P157" s="9"/>
    </row>
    <row r="158" customFormat="false" ht="35.05" hidden="false" customHeight="false" outlineLevel="0" collapsed="false">
      <c r="A158" s="9" t="s">
        <v>1082</v>
      </c>
      <c r="B158" s="9" t="s">
        <v>1029</v>
      </c>
      <c r="C158" s="9" t="s">
        <v>65</v>
      </c>
      <c r="D158" s="9" t="s">
        <v>1030</v>
      </c>
      <c r="E158" s="9" t="s">
        <v>129</v>
      </c>
      <c r="F158" s="9" t="s">
        <v>1083</v>
      </c>
      <c r="G158" s="9" t="s">
        <v>1084</v>
      </c>
      <c r="H158" s="9" t="s">
        <v>1085</v>
      </c>
      <c r="I158" s="9" t="s">
        <v>1086</v>
      </c>
      <c r="J158" s="9" t="s">
        <v>1087</v>
      </c>
      <c r="K158" s="9" t="s">
        <v>1088</v>
      </c>
      <c r="L158" s="9" t="s">
        <v>1089</v>
      </c>
      <c r="M158" s="11" t="s">
        <v>1090</v>
      </c>
      <c r="N158" s="9" t="s">
        <v>1035</v>
      </c>
      <c r="O158" s="9" t="s">
        <v>1091</v>
      </c>
      <c r="P158" s="9"/>
    </row>
    <row r="159" customFormat="false" ht="23.85" hidden="false" customHeight="false" outlineLevel="0" collapsed="false">
      <c r="A159" s="9" t="s">
        <v>1092</v>
      </c>
      <c r="B159" s="9" t="s">
        <v>1029</v>
      </c>
      <c r="C159" s="9" t="s">
        <v>65</v>
      </c>
      <c r="D159" s="9" t="s">
        <v>1030</v>
      </c>
      <c r="E159" s="9" t="s">
        <v>85</v>
      </c>
      <c r="F159" s="9" t="s">
        <v>1093</v>
      </c>
      <c r="G159" s="9" t="s">
        <v>307</v>
      </c>
      <c r="H159" s="9" t="s">
        <v>305</v>
      </c>
      <c r="I159" s="9" t="s">
        <v>1094</v>
      </c>
      <c r="J159" s="9" t="s">
        <v>1095</v>
      </c>
      <c r="K159" s="9" t="s">
        <v>1096</v>
      </c>
      <c r="L159" s="9" t="s">
        <v>308</v>
      </c>
      <c r="M159" s="11" t="s">
        <v>1053</v>
      </c>
      <c r="N159" s="9" t="s">
        <v>1035</v>
      </c>
      <c r="O159" s="9" t="s">
        <v>1097</v>
      </c>
      <c r="P159" s="9"/>
    </row>
    <row r="160" customFormat="false" ht="23.85" hidden="false" customHeight="false" outlineLevel="0" collapsed="false">
      <c r="A160" s="9" t="s">
        <v>1098</v>
      </c>
      <c r="B160" s="9" t="s">
        <v>1029</v>
      </c>
      <c r="C160" s="9" t="s">
        <v>65</v>
      </c>
      <c r="D160" s="9" t="s">
        <v>1030</v>
      </c>
      <c r="E160" s="9" t="s">
        <v>67</v>
      </c>
      <c r="F160" s="9" t="s">
        <v>1099</v>
      </c>
      <c r="G160" s="9" t="s">
        <v>1100</v>
      </c>
      <c r="H160" s="9" t="s">
        <v>1101</v>
      </c>
      <c r="I160" s="9" t="s">
        <v>1102</v>
      </c>
      <c r="J160" s="9" t="s">
        <v>224</v>
      </c>
      <c r="K160" s="9" t="s">
        <v>1041</v>
      </c>
      <c r="L160" s="9" t="s">
        <v>1103</v>
      </c>
      <c r="M160" s="11" t="s">
        <v>1104</v>
      </c>
      <c r="N160" s="9" t="s">
        <v>1035</v>
      </c>
      <c r="O160" s="9" t="s">
        <v>1105</v>
      </c>
      <c r="P160" s="9"/>
    </row>
    <row r="161" customFormat="false" ht="23.85" hidden="false" customHeight="false" outlineLevel="0" collapsed="false">
      <c r="A161" s="9" t="s">
        <v>1106</v>
      </c>
      <c r="B161" s="9" t="s">
        <v>1029</v>
      </c>
      <c r="C161" s="9" t="s">
        <v>684</v>
      </c>
      <c r="D161" s="9" t="s">
        <v>1030</v>
      </c>
      <c r="E161" s="9" t="s">
        <v>85</v>
      </c>
      <c r="F161" s="9" t="s">
        <v>1107</v>
      </c>
      <c r="G161" s="9" t="s">
        <v>1108</v>
      </c>
      <c r="H161" s="9" t="s">
        <v>1109</v>
      </c>
      <c r="I161" s="9" t="s">
        <v>1110</v>
      </c>
      <c r="J161" s="9" t="s">
        <v>87</v>
      </c>
      <c r="K161" s="9" t="s">
        <v>1111</v>
      </c>
      <c r="L161" s="9" t="s">
        <v>1112</v>
      </c>
      <c r="M161" s="11" t="s">
        <v>1113</v>
      </c>
      <c r="N161" s="9" t="s">
        <v>1035</v>
      </c>
      <c r="O161" s="9" t="s">
        <v>1114</v>
      </c>
      <c r="P161" s="9"/>
    </row>
    <row r="162" customFormat="false" ht="23.85" hidden="false" customHeight="false" outlineLevel="0" collapsed="false">
      <c r="A162" s="9" t="s">
        <v>1115</v>
      </c>
      <c r="B162" s="9" t="s">
        <v>1029</v>
      </c>
      <c r="C162" s="9" t="s">
        <v>684</v>
      </c>
      <c r="D162" s="9" t="s">
        <v>1030</v>
      </c>
      <c r="E162" s="9" t="s">
        <v>85</v>
      </c>
      <c r="F162" s="9" t="s">
        <v>1116</v>
      </c>
      <c r="G162" s="9" t="s">
        <v>266</v>
      </c>
      <c r="H162" s="9" t="s">
        <v>1117</v>
      </c>
      <c r="I162" s="9" t="s">
        <v>1118</v>
      </c>
      <c r="J162" s="9" t="s">
        <v>263</v>
      </c>
      <c r="K162" s="9" t="s">
        <v>1119</v>
      </c>
      <c r="L162" s="9" t="s">
        <v>1120</v>
      </c>
      <c r="M162" s="11" t="s">
        <v>1113</v>
      </c>
      <c r="N162" s="9" t="s">
        <v>1035</v>
      </c>
      <c r="O162" s="9" t="s">
        <v>1121</v>
      </c>
      <c r="P162" s="9"/>
    </row>
    <row r="163" customFormat="false" ht="23.85" hidden="false" customHeight="false" outlineLevel="0" collapsed="false">
      <c r="A163" s="9" t="s">
        <v>1122</v>
      </c>
      <c r="B163" s="9" t="s">
        <v>1029</v>
      </c>
      <c r="C163" s="9" t="s">
        <v>684</v>
      </c>
      <c r="D163" s="9" t="s">
        <v>1030</v>
      </c>
      <c r="E163" s="9" t="s">
        <v>85</v>
      </c>
      <c r="F163" s="9" t="s">
        <v>1123</v>
      </c>
      <c r="G163" s="9" t="s">
        <v>1124</v>
      </c>
      <c r="H163" s="9" t="s">
        <v>1125</v>
      </c>
      <c r="I163" s="9" t="s">
        <v>1126</v>
      </c>
      <c r="J163" s="9" t="s">
        <v>1127</v>
      </c>
      <c r="K163" s="9" t="s">
        <v>1128</v>
      </c>
      <c r="L163" s="9" t="s">
        <v>1129</v>
      </c>
      <c r="M163" s="11" t="s">
        <v>1130</v>
      </c>
      <c r="N163" s="9" t="s">
        <v>1035</v>
      </c>
      <c r="O163" s="9" t="s">
        <v>1131</v>
      </c>
      <c r="P163" s="9"/>
    </row>
    <row r="164" customFormat="false" ht="23.85" hidden="false" customHeight="false" outlineLevel="0" collapsed="false">
      <c r="A164" s="9" t="s">
        <v>1132</v>
      </c>
      <c r="B164" s="9" t="s">
        <v>1029</v>
      </c>
      <c r="C164" s="9" t="s">
        <v>868</v>
      </c>
      <c r="D164" s="9" t="s">
        <v>1030</v>
      </c>
      <c r="E164" s="9" t="s">
        <v>67</v>
      </c>
      <c r="F164" s="9" t="s">
        <v>1133</v>
      </c>
      <c r="G164" s="9" t="s">
        <v>938</v>
      </c>
      <c r="H164" s="9" t="s">
        <v>871</v>
      </c>
      <c r="I164" s="9" t="s">
        <v>785</v>
      </c>
      <c r="J164" s="9" t="s">
        <v>981</v>
      </c>
      <c r="K164" s="9" t="s">
        <v>977</v>
      </c>
      <c r="L164" s="9" t="s">
        <v>1134</v>
      </c>
      <c r="M164" s="11" t="s">
        <v>1135</v>
      </c>
      <c r="N164" s="9" t="s">
        <v>1035</v>
      </c>
      <c r="O164" s="9" t="s">
        <v>1136</v>
      </c>
      <c r="P164" s="9"/>
    </row>
    <row r="165" customFormat="false" ht="23.85" hidden="false" customHeight="false" outlineLevel="0" collapsed="false">
      <c r="A165" s="9" t="s">
        <v>1137</v>
      </c>
      <c r="B165" s="9" t="s">
        <v>1029</v>
      </c>
      <c r="C165" s="9" t="s">
        <v>868</v>
      </c>
      <c r="D165" s="9" t="s">
        <v>1030</v>
      </c>
      <c r="E165" s="9" t="s">
        <v>67</v>
      </c>
      <c r="F165" s="9" t="s">
        <v>1138</v>
      </c>
      <c r="G165" s="9" t="s">
        <v>878</v>
      </c>
      <c r="H165" s="9" t="s">
        <v>933</v>
      </c>
      <c r="I165" s="9" t="s">
        <v>1139</v>
      </c>
      <c r="J165" s="9" t="s">
        <v>885</v>
      </c>
      <c r="K165" s="9" t="s">
        <v>881</v>
      </c>
      <c r="L165" s="9" t="s">
        <v>836</v>
      </c>
      <c r="M165" s="11" t="s">
        <v>1140</v>
      </c>
      <c r="N165" s="9" t="s">
        <v>1035</v>
      </c>
      <c r="O165" s="9" t="s">
        <v>1141</v>
      </c>
      <c r="P165" s="9"/>
    </row>
    <row r="166" customFormat="false" ht="23.85" hidden="false" customHeight="false" outlineLevel="0" collapsed="false">
      <c r="A166" s="9" t="s">
        <v>1142</v>
      </c>
      <c r="B166" s="9" t="s">
        <v>1029</v>
      </c>
      <c r="C166" s="9" t="s">
        <v>868</v>
      </c>
      <c r="D166" s="9" t="s">
        <v>1030</v>
      </c>
      <c r="E166" s="9" t="s">
        <v>85</v>
      </c>
      <c r="F166" s="9" t="s">
        <v>1143</v>
      </c>
      <c r="G166" s="9" t="s">
        <v>870</v>
      </c>
      <c r="H166" s="9" t="s">
        <v>785</v>
      </c>
      <c r="I166" s="9" t="s">
        <v>939</v>
      </c>
      <c r="J166" s="9" t="s">
        <v>836</v>
      </c>
      <c r="K166" s="9" t="s">
        <v>1134</v>
      </c>
      <c r="L166" s="9" t="s">
        <v>933</v>
      </c>
      <c r="M166" s="11" t="s">
        <v>1080</v>
      </c>
      <c r="N166" s="9" t="s">
        <v>1035</v>
      </c>
      <c r="O166" s="9" t="s">
        <v>1144</v>
      </c>
      <c r="P166" s="9"/>
    </row>
    <row r="167" customFormat="false" ht="23.85" hidden="false" customHeight="false" outlineLevel="0" collapsed="false">
      <c r="A167" s="9" t="s">
        <v>1145</v>
      </c>
      <c r="B167" s="9" t="s">
        <v>1146</v>
      </c>
      <c r="C167" s="9" t="s">
        <v>65</v>
      </c>
      <c r="D167" s="9" t="s">
        <v>1147</v>
      </c>
      <c r="E167" s="9" t="s">
        <v>85</v>
      </c>
      <c r="F167" s="9" t="s">
        <v>1148</v>
      </c>
      <c r="G167" s="9" t="s">
        <v>1149</v>
      </c>
      <c r="H167" s="9" t="s">
        <v>1150</v>
      </c>
      <c r="I167" s="9" t="s">
        <v>1151</v>
      </c>
      <c r="J167" s="9" t="s">
        <v>1152</v>
      </c>
      <c r="K167" s="9"/>
      <c r="L167" s="9"/>
      <c r="M167" s="11" t="s">
        <v>98</v>
      </c>
      <c r="N167" s="9" t="s">
        <v>74</v>
      </c>
      <c r="O167" s="9" t="s">
        <v>1153</v>
      </c>
      <c r="P167" s="9" t="s">
        <v>1154</v>
      </c>
    </row>
    <row r="168" customFormat="false" ht="23.85" hidden="false" customHeight="false" outlineLevel="0" collapsed="false">
      <c r="A168" s="9" t="s">
        <v>1155</v>
      </c>
      <c r="B168" s="9" t="s">
        <v>1146</v>
      </c>
      <c r="C168" s="9" t="s">
        <v>65</v>
      </c>
      <c r="D168" s="9" t="s">
        <v>1147</v>
      </c>
      <c r="E168" s="9" t="s">
        <v>85</v>
      </c>
      <c r="F168" s="9" t="s">
        <v>1156</v>
      </c>
      <c r="G168" s="9" t="s">
        <v>1157</v>
      </c>
      <c r="H168" s="9" t="s">
        <v>1158</v>
      </c>
      <c r="I168" s="9" t="s">
        <v>1159</v>
      </c>
      <c r="J168" s="9" t="s">
        <v>1160</v>
      </c>
      <c r="K168" s="9"/>
      <c r="L168" s="9"/>
      <c r="M168" s="11" t="s">
        <v>82</v>
      </c>
      <c r="N168" s="9" t="s">
        <v>74</v>
      </c>
      <c r="O168" s="9" t="s">
        <v>1161</v>
      </c>
      <c r="P168" s="9" t="s">
        <v>1162</v>
      </c>
    </row>
    <row r="169" customFormat="false" ht="23.85" hidden="false" customHeight="false" outlineLevel="0" collapsed="false">
      <c r="A169" s="9" t="s">
        <v>1163</v>
      </c>
      <c r="B169" s="9" t="s">
        <v>1146</v>
      </c>
      <c r="C169" s="9" t="s">
        <v>65</v>
      </c>
      <c r="D169" s="9" t="s">
        <v>1147</v>
      </c>
      <c r="E169" s="9" t="s">
        <v>85</v>
      </c>
      <c r="F169" s="9" t="s">
        <v>1164</v>
      </c>
      <c r="G169" s="9" t="s">
        <v>1165</v>
      </c>
      <c r="H169" s="9" t="s">
        <v>1166</v>
      </c>
      <c r="I169" s="9" t="s">
        <v>1167</v>
      </c>
      <c r="J169" s="9" t="s">
        <v>1168</v>
      </c>
      <c r="K169" s="9"/>
      <c r="L169" s="9"/>
      <c r="M169" s="11" t="s">
        <v>64</v>
      </c>
      <c r="N169" s="9" t="s">
        <v>74</v>
      </c>
      <c r="O169" s="9" t="s">
        <v>1169</v>
      </c>
      <c r="P169" s="9" t="s">
        <v>1170</v>
      </c>
    </row>
    <row r="170" customFormat="false" ht="23.85" hidden="false" customHeight="false" outlineLevel="0" collapsed="false">
      <c r="A170" s="9" t="s">
        <v>1171</v>
      </c>
      <c r="B170" s="9" t="s">
        <v>1146</v>
      </c>
      <c r="C170" s="9" t="s">
        <v>65</v>
      </c>
      <c r="D170" s="9" t="s">
        <v>1147</v>
      </c>
      <c r="E170" s="9" t="s">
        <v>129</v>
      </c>
      <c r="F170" s="9" t="s">
        <v>1172</v>
      </c>
      <c r="G170" s="9" t="s">
        <v>727</v>
      </c>
      <c r="H170" s="9" t="s">
        <v>1173</v>
      </c>
      <c r="I170" s="9" t="s">
        <v>725</v>
      </c>
      <c r="J170" s="9" t="s">
        <v>1174</v>
      </c>
      <c r="K170" s="9"/>
      <c r="L170" s="9"/>
      <c r="M170" s="11" t="s">
        <v>98</v>
      </c>
      <c r="N170" s="9" t="s">
        <v>74</v>
      </c>
      <c r="O170" s="9" t="s">
        <v>1175</v>
      </c>
      <c r="P170" s="9" t="s">
        <v>1176</v>
      </c>
    </row>
    <row r="171" customFormat="false" ht="23.85" hidden="false" customHeight="false" outlineLevel="0" collapsed="false">
      <c r="A171" s="9" t="s">
        <v>1177</v>
      </c>
      <c r="B171" s="9" t="s">
        <v>1146</v>
      </c>
      <c r="C171" s="9" t="s">
        <v>684</v>
      </c>
      <c r="D171" s="9" t="s">
        <v>1147</v>
      </c>
      <c r="E171" s="9" t="s">
        <v>129</v>
      </c>
      <c r="F171" s="9" t="s">
        <v>1178</v>
      </c>
      <c r="G171" s="9" t="s">
        <v>1179</v>
      </c>
      <c r="H171" s="9" t="s">
        <v>1180</v>
      </c>
      <c r="I171" s="9" t="s">
        <v>1181</v>
      </c>
      <c r="J171" s="9" t="s">
        <v>1182</v>
      </c>
      <c r="K171" s="9"/>
      <c r="L171" s="9"/>
      <c r="M171" s="11" t="s">
        <v>82</v>
      </c>
      <c r="N171" s="9" t="s">
        <v>74</v>
      </c>
      <c r="O171" s="9" t="s">
        <v>1183</v>
      </c>
      <c r="P171" s="9" t="s">
        <v>1184</v>
      </c>
    </row>
    <row r="172" customFormat="false" ht="23.85" hidden="false" customHeight="false" outlineLevel="0" collapsed="false">
      <c r="A172" s="9" t="s">
        <v>1185</v>
      </c>
      <c r="B172" s="9" t="s">
        <v>1146</v>
      </c>
      <c r="C172" s="9" t="s">
        <v>780</v>
      </c>
      <c r="D172" s="9" t="s">
        <v>1147</v>
      </c>
      <c r="E172" s="9" t="s">
        <v>85</v>
      </c>
      <c r="F172" s="9" t="s">
        <v>1186</v>
      </c>
      <c r="G172" s="9" t="s">
        <v>784</v>
      </c>
      <c r="H172" s="9" t="s">
        <v>790</v>
      </c>
      <c r="I172" s="9" t="s">
        <v>870</v>
      </c>
      <c r="J172" s="9" t="s">
        <v>995</v>
      </c>
      <c r="K172" s="9"/>
      <c r="L172" s="9"/>
      <c r="M172" s="11" t="s">
        <v>64</v>
      </c>
      <c r="N172" s="9" t="s">
        <v>74</v>
      </c>
      <c r="O172" s="9" t="s">
        <v>1187</v>
      </c>
      <c r="P172" s="9" t="s">
        <v>1188</v>
      </c>
    </row>
    <row r="173" customFormat="false" ht="23.85" hidden="false" customHeight="false" outlineLevel="0" collapsed="false">
      <c r="A173" s="9" t="s">
        <v>1189</v>
      </c>
      <c r="B173" s="9" t="s">
        <v>1146</v>
      </c>
      <c r="C173" s="9" t="s">
        <v>780</v>
      </c>
      <c r="D173" s="9" t="s">
        <v>1147</v>
      </c>
      <c r="E173" s="9" t="s">
        <v>85</v>
      </c>
      <c r="F173" s="9" t="s">
        <v>1190</v>
      </c>
      <c r="G173" s="9" t="s">
        <v>790</v>
      </c>
      <c r="H173" s="9" t="s">
        <v>1191</v>
      </c>
      <c r="I173" s="9" t="s">
        <v>801</v>
      </c>
      <c r="J173" s="9" t="s">
        <v>802</v>
      </c>
      <c r="K173" s="9"/>
      <c r="L173" s="9"/>
      <c r="M173" s="11" t="s">
        <v>73</v>
      </c>
      <c r="N173" s="9" t="s">
        <v>74</v>
      </c>
      <c r="O173" s="9" t="s">
        <v>1192</v>
      </c>
      <c r="P173" s="9" t="s">
        <v>1193</v>
      </c>
    </row>
    <row r="174" customFormat="false" ht="102.2" hidden="false" customHeight="false" outlineLevel="0" collapsed="false">
      <c r="A174" s="9" t="s">
        <v>1194</v>
      </c>
      <c r="B174" s="9" t="s">
        <v>1195</v>
      </c>
      <c r="C174" s="9" t="s">
        <v>1196</v>
      </c>
      <c r="D174" s="9" t="s">
        <v>1197</v>
      </c>
      <c r="E174" s="9" t="s">
        <v>129</v>
      </c>
      <c r="F174" s="9" t="s">
        <v>1198</v>
      </c>
      <c r="G174" s="9"/>
      <c r="H174" s="9"/>
      <c r="I174" s="9"/>
      <c r="J174" s="9"/>
      <c r="K174" s="9"/>
      <c r="L174" s="9"/>
      <c r="M174" s="11"/>
      <c r="N174" s="9" t="s">
        <v>1199</v>
      </c>
      <c r="O174" s="9" t="s">
        <v>1200</v>
      </c>
      <c r="P174" s="9"/>
    </row>
    <row r="175" customFormat="false" ht="102.2" hidden="false" customHeight="false" outlineLevel="0" collapsed="false">
      <c r="A175" s="9" t="s">
        <v>1201</v>
      </c>
      <c r="B175" s="9" t="s">
        <v>1195</v>
      </c>
      <c r="C175" s="9" t="s">
        <v>1196</v>
      </c>
      <c r="D175" s="9" t="s">
        <v>1197</v>
      </c>
      <c r="E175" s="9" t="s">
        <v>129</v>
      </c>
      <c r="F175" s="9" t="s">
        <v>1202</v>
      </c>
      <c r="G175" s="9"/>
      <c r="H175" s="9"/>
      <c r="I175" s="9"/>
      <c r="J175" s="9"/>
      <c r="K175" s="9"/>
      <c r="L175" s="9"/>
      <c r="M175" s="11"/>
      <c r="N175" s="9" t="s">
        <v>1199</v>
      </c>
      <c r="O175" s="9" t="s">
        <v>1203</v>
      </c>
      <c r="P175" s="9"/>
    </row>
    <row r="176" customFormat="false" ht="91" hidden="false" customHeight="false" outlineLevel="0" collapsed="false">
      <c r="A176" s="9" t="s">
        <v>1204</v>
      </c>
      <c r="B176" s="9" t="s">
        <v>1195</v>
      </c>
      <c r="C176" s="9" t="s">
        <v>1196</v>
      </c>
      <c r="D176" s="9" t="s">
        <v>1197</v>
      </c>
      <c r="E176" s="9" t="s">
        <v>129</v>
      </c>
      <c r="F176" s="9" t="s">
        <v>1205</v>
      </c>
      <c r="G176" s="9"/>
      <c r="H176" s="9"/>
      <c r="I176" s="9"/>
      <c r="J176" s="9"/>
      <c r="K176" s="9"/>
      <c r="L176" s="9"/>
      <c r="M176" s="11"/>
      <c r="N176" s="9" t="s">
        <v>1199</v>
      </c>
      <c r="O176" s="9" t="s">
        <v>1206</v>
      </c>
      <c r="P176" s="9"/>
    </row>
  </sheetData>
  <autoFilter ref="A1:P1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2"/>
    <col collapsed="false" customWidth="true" hidden="false" outlineLevel="0" max="4" min="4" style="0" width="60"/>
  </cols>
  <sheetData>
    <row r="1" customFormat="false" ht="17.35" hidden="false" customHeight="false" outlineLevel="0" collapsed="false">
      <c r="A1" s="2" t="s">
        <v>1207</v>
      </c>
    </row>
    <row r="2" customFormat="false" ht="15" hidden="false" customHeight="false" outlineLevel="0" collapsed="false">
      <c r="A2" s="3" t="s">
        <v>1208</v>
      </c>
    </row>
    <row r="4" customFormat="false" ht="15" hidden="false" customHeight="false" outlineLevel="0" collapsed="false">
      <c r="A4" s="12" t="s">
        <v>1209</v>
      </c>
    </row>
    <row r="5" customFormat="false" ht="15" hidden="false" customHeight="false" outlineLevel="0" collapsed="false">
      <c r="A5" s="0" t="s">
        <v>1210</v>
      </c>
      <c r="B5" s="0" t="n">
        <f aca="false">COUNTIF('Question Bank'!$M$2:$M$176,"A")</f>
        <v>40</v>
      </c>
    </row>
    <row r="6" customFormat="false" ht="15" hidden="false" customHeight="false" outlineLevel="0" collapsed="false">
      <c r="A6" s="0" t="s">
        <v>1211</v>
      </c>
      <c r="B6" s="0" t="n">
        <f aca="false">COUNTIF('Question Bank'!$M$2:$M$176,"B")</f>
        <v>40</v>
      </c>
    </row>
    <row r="7" customFormat="false" ht="15" hidden="false" customHeight="false" outlineLevel="0" collapsed="false">
      <c r="A7" s="0" t="s">
        <v>1212</v>
      </c>
      <c r="B7" s="0" t="n">
        <f aca="false">COUNTIF('Question Bank'!$M$2:$M$176,"C")</f>
        <v>39</v>
      </c>
    </row>
    <row r="8" customFormat="false" ht="15" hidden="false" customHeight="false" outlineLevel="0" collapsed="false">
      <c r="A8" s="0" t="s">
        <v>1213</v>
      </c>
      <c r="B8" s="0" t="n">
        <f aca="false">COUNTIF('Question Bank'!$M$2:$M$176,"D")</f>
        <v>38</v>
      </c>
    </row>
    <row r="9" customFormat="false" ht="15" hidden="false" customHeight="false" outlineLevel="0" collapsed="false">
      <c r="A9" s="0" t="s">
        <v>1214</v>
      </c>
      <c r="B9" s="0" t="n">
        <f aca="false">SUM(B5:B8)</f>
        <v>157</v>
      </c>
    </row>
    <row r="11" customFormat="false" ht="15" hidden="false" customHeight="false" outlineLevel="0" collapsed="false">
      <c r="A11" s="12" t="s">
        <v>1215</v>
      </c>
    </row>
    <row r="12" customFormat="false" ht="15" hidden="false" customHeight="false" outlineLevel="0" collapsed="false">
      <c r="A12" s="0" t="s">
        <v>67</v>
      </c>
      <c r="B12" s="0" t="n">
        <f aca="false">COUNTIF('Question Bank'!$E$2:$E$176,"Easy")</f>
        <v>26</v>
      </c>
    </row>
    <row r="13" customFormat="false" ht="15" hidden="false" customHeight="false" outlineLevel="0" collapsed="false">
      <c r="A13" s="0" t="s">
        <v>85</v>
      </c>
      <c r="B13" s="0" t="n">
        <f aca="false">COUNTIF('Question Bank'!$E$2:$E$176,"Medium")</f>
        <v>107</v>
      </c>
    </row>
    <row r="14" customFormat="false" ht="15" hidden="false" customHeight="false" outlineLevel="0" collapsed="false">
      <c r="A14" s="0" t="s">
        <v>129</v>
      </c>
      <c r="B14" s="0" t="n">
        <f aca="false">COUNTIF('Question Bank'!$E$2:$E$176,"Hard")</f>
        <v>42</v>
      </c>
    </row>
    <row r="16" customFormat="false" ht="15" hidden="false" customHeight="false" outlineLevel="0" collapsed="false">
      <c r="A16" s="12" t="s">
        <v>1216</v>
      </c>
    </row>
    <row r="17" customFormat="false" ht="15" hidden="false" customHeight="false" outlineLevel="0" collapsed="false">
      <c r="A17" s="0" t="s">
        <v>1217</v>
      </c>
      <c r="B17" s="0" t="n">
        <f aca="false">COUNTIF('Question Bank'!$D$2:$D$176,"single")</f>
        <v>150</v>
      </c>
    </row>
    <row r="18" customFormat="false" ht="15" hidden="false" customHeight="false" outlineLevel="0" collapsed="false">
      <c r="A18" s="0" t="s">
        <v>1218</v>
      </c>
      <c r="B18" s="0" t="n">
        <f aca="false">COUNTIF('Question Bank'!$D$2:$D$176,"multi")</f>
        <v>15</v>
      </c>
    </row>
    <row r="19" customFormat="false" ht="15" hidden="false" customHeight="false" outlineLevel="0" collapsed="false">
      <c r="A19" s="0" t="s">
        <v>62</v>
      </c>
      <c r="B19" s="0" t="n">
        <f aca="false">COUNTIF('Question Bank'!$D$2:$D$176,"image")</f>
        <v>7</v>
      </c>
    </row>
    <row r="20" customFormat="false" ht="15" hidden="false" customHeight="false" outlineLevel="0" collapsed="false">
      <c r="A20" s="0" t="s">
        <v>1219</v>
      </c>
      <c r="B20" s="0" t="n">
        <f aca="false">COUNTIF('Question Bank'!$D$2:$D$176,"freetext")</f>
        <v>3</v>
      </c>
    </row>
    <row r="21" customFormat="false" ht="15" hidden="false" customHeight="false" outlineLevel="0" collapsed="false">
      <c r="A21" s="0" t="s">
        <v>1220</v>
      </c>
      <c r="B21" s="0" t="n">
        <f aca="false">SUM(B17:B20)</f>
        <v>175</v>
      </c>
    </row>
    <row r="23" customFormat="false" ht="15" hidden="false" customHeight="false" outlineLevel="0" collapsed="false">
      <c r="A23" s="12" t="s">
        <v>1221</v>
      </c>
    </row>
    <row r="24" customFormat="false" ht="15" hidden="false" customHeight="false" outlineLevel="0" collapsed="false">
      <c r="A24" s="10" t="s">
        <v>1222</v>
      </c>
      <c r="B24" s="10" t="s">
        <v>1223</v>
      </c>
      <c r="C24" s="10" t="s">
        <v>1224</v>
      </c>
      <c r="D24" s="10" t="s">
        <v>1225</v>
      </c>
    </row>
    <row r="25" customFormat="false" ht="15" hidden="false" customHeight="false" outlineLevel="0" collapsed="false">
      <c r="A25" s="9" t="s">
        <v>1226</v>
      </c>
      <c r="B25" s="9" t="n">
        <v>5</v>
      </c>
      <c r="C25" s="13" t="n">
        <v>0.12</v>
      </c>
      <c r="D25" s="9" t="s">
        <v>1227</v>
      </c>
    </row>
    <row r="26" customFormat="false" ht="15" hidden="false" customHeight="false" outlineLevel="0" collapsed="false">
      <c r="A26" s="9" t="s">
        <v>1228</v>
      </c>
      <c r="B26" s="9" t="n">
        <v>4</v>
      </c>
      <c r="C26" s="13" t="n">
        <v>0.1</v>
      </c>
      <c r="D26" s="9" t="s">
        <v>1229</v>
      </c>
    </row>
    <row r="27" customFormat="false" ht="15" hidden="false" customHeight="false" outlineLevel="0" collapsed="false">
      <c r="A27" s="9" t="s">
        <v>1230</v>
      </c>
      <c r="B27" s="9" t="n">
        <v>4</v>
      </c>
      <c r="C27" s="13" t="n">
        <v>0.12</v>
      </c>
      <c r="D27" s="9" t="s">
        <v>1231</v>
      </c>
    </row>
    <row r="28" customFormat="false" ht="15" hidden="false" customHeight="false" outlineLevel="0" collapsed="false">
      <c r="A28" s="9" t="s">
        <v>1232</v>
      </c>
      <c r="B28" s="9" t="n">
        <v>5</v>
      </c>
      <c r="C28" s="13" t="n">
        <v>0.12</v>
      </c>
      <c r="D28" s="9" t="s">
        <v>1233</v>
      </c>
    </row>
    <row r="29" customFormat="false" ht="15" hidden="false" customHeight="false" outlineLevel="0" collapsed="false">
      <c r="A29" s="9" t="s">
        <v>1234</v>
      </c>
      <c r="B29" s="9" t="n">
        <v>4</v>
      </c>
      <c r="C29" s="13" t="n">
        <v>0.1</v>
      </c>
      <c r="D29" s="9" t="s">
        <v>1235</v>
      </c>
    </row>
    <row r="30" customFormat="false" ht="15" hidden="false" customHeight="false" outlineLevel="0" collapsed="false">
      <c r="A30" s="9" t="s">
        <v>1236</v>
      </c>
      <c r="B30" s="9" t="n">
        <v>5</v>
      </c>
      <c r="C30" s="13" t="n">
        <v>0.08</v>
      </c>
      <c r="D30" s="9" t="s">
        <v>1237</v>
      </c>
    </row>
    <row r="31" customFormat="false" ht="15" hidden="false" customHeight="false" outlineLevel="0" collapsed="false">
      <c r="A31" s="9" t="s">
        <v>1238</v>
      </c>
      <c r="B31" s="9" t="n">
        <v>5</v>
      </c>
      <c r="C31" s="13" t="n">
        <v>0.08</v>
      </c>
      <c r="D31" s="9" t="s">
        <v>1239</v>
      </c>
    </row>
    <row r="32" customFormat="false" ht="15" hidden="false" customHeight="false" outlineLevel="0" collapsed="false">
      <c r="A32" s="9" t="s">
        <v>1240</v>
      </c>
      <c r="B32" s="9" t="n">
        <v>5</v>
      </c>
      <c r="C32" s="13" t="n">
        <v>0.08</v>
      </c>
      <c r="D32" s="9" t="s">
        <v>1241</v>
      </c>
    </row>
    <row r="33" customFormat="false" ht="15" hidden="false" customHeight="false" outlineLevel="0" collapsed="false">
      <c r="A33" s="9" t="s">
        <v>1242</v>
      </c>
      <c r="B33" s="9" t="n">
        <v>5</v>
      </c>
      <c r="C33" s="13" t="n">
        <v>0.06</v>
      </c>
      <c r="D33" s="9" t="s">
        <v>1243</v>
      </c>
    </row>
    <row r="34" customFormat="false" ht="15" hidden="false" customHeight="false" outlineLevel="0" collapsed="false">
      <c r="A34" s="9" t="s">
        <v>1244</v>
      </c>
      <c r="B34" s="9" t="n">
        <v>3</v>
      </c>
      <c r="C34" s="13" t="n">
        <v>0.14</v>
      </c>
      <c r="D34" s="9" t="s">
        <v>1245</v>
      </c>
    </row>
    <row r="35" customFormat="false" ht="15" hidden="false" customHeight="false" outlineLevel="0" collapsed="false">
      <c r="A35" s="14" t="s">
        <v>1246</v>
      </c>
      <c r="B35" s="12" t="n">
        <f aca="false">SUMPRODUCT(B25:B34,C25:C34)</f>
        <v>4.4</v>
      </c>
      <c r="C35" s="15" t="n">
        <f aca="false">SUM(C25:C34)</f>
        <v>1</v>
      </c>
    </row>
    <row r="37" customFormat="false" ht="15" hidden="false" customHeight="false" outlineLevel="0" collapsed="false">
      <c r="A37" s="12" t="s">
        <v>1247</v>
      </c>
    </row>
    <row r="38" customFormat="false" ht="15" hidden="false" customHeight="false" outlineLevel="0" collapsed="false">
      <c r="A38" s="5" t="s">
        <v>1248</v>
      </c>
    </row>
    <row r="39" customFormat="false" ht="23.85" hidden="false" customHeight="false" outlineLevel="0" collapsed="false">
      <c r="A39" s="5" t="s">
        <v>1249</v>
      </c>
    </row>
    <row r="40" customFormat="false" ht="23.85" hidden="false" customHeight="false" outlineLevel="0" collapsed="false">
      <c r="A40" s="5" t="s">
        <v>1250</v>
      </c>
    </row>
    <row r="41" customFormat="false" ht="15" hidden="false" customHeight="false" outlineLevel="0" collapsed="false">
      <c r="A41" s="5" t="s">
        <v>1251</v>
      </c>
    </row>
    <row r="43" customFormat="false" ht="15" hidden="false" customHeight="false" outlineLevel="0" collapsed="false">
      <c r="A43" s="12" t="s">
        <v>1252</v>
      </c>
    </row>
    <row r="44" customFormat="false" ht="15" hidden="false" customHeight="false" outlineLevel="0" collapsed="false">
      <c r="A44" s="5" t="s">
        <v>1253</v>
      </c>
    </row>
    <row r="45" customFormat="false" ht="23.85" hidden="false" customHeight="false" outlineLevel="0" collapsed="false">
      <c r="A45" s="5" t="s">
        <v>1254</v>
      </c>
    </row>
    <row r="46" customFormat="false" ht="15" hidden="false" customHeight="false" outlineLevel="0" collapsed="false">
      <c r="A46" s="5" t="s">
        <v>1255</v>
      </c>
    </row>
    <row r="47" customFormat="false" ht="23.85" hidden="false" customHeight="false" outlineLevel="0" collapsed="false">
      <c r="A47" s="5" t="s">
        <v>1256</v>
      </c>
    </row>
    <row r="48" customFormat="false" ht="15" hidden="false" customHeight="false" outlineLevel="0" collapsed="false">
      <c r="A48" s="5" t="s">
        <v>1257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2026-06-10T05:03:50Z</dcterms:created>
  <dc:creator>openpyxl</dc:creator>
  <dc:description/>
  <dc:language>en-US</dc:language>
  <cp:lastModifiedBy/>
  <dcterms:modified xsi:type="dcterms:W3CDTF">2026-06-10T05:03:50Z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